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el vendedor" sheetId="1" state="visible" r:id="rId1"/>
    <sheet name="Números del negoc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9" fontId="0" fillId="2" borderId="1" pivotButton="0" quotePrefix="0" xfId="0"/>
    <xf numFmtId="165" fontId="0" fillId="2" borderId="1" pivotButton="0" quotePrefix="0" xfId="0"/>
    <xf numFmtId="1" fontId="0" fillId="2" borderId="1" pivotButton="0" quotePrefix="0" xfId="0"/>
    <xf numFmtId="164" fontId="0" fillId="4" borderId="1" pivotButton="0" quotePrefix="0" xfId="0"/>
    <xf numFmtId="0" fontId="3" fillId="3" borderId="1" applyAlignment="1" pivotButton="0" quotePrefix="0" xfId="0">
      <alignment horizontal="center" vertical="center" wrapText="1"/>
    </xf>
    <xf numFmtId="1" fontId="0" fillId="4" borderId="1" pivotButton="0" quotePrefix="0" xfId="0"/>
    <xf numFmtId="9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2" borderId="1" pivotButton="0" quotePrefix="0" xfId="0"/>
    <xf numFmtId="3" fontId="0" fillId="4" borderId="1" pivotButton="0" quotePrefix="0" xfId="0"/>
    <xf numFmtId="166" fontId="0" fillId="4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Cláusula de lluvia del fiado: libro de un vendedor de carrito, día por día</t>
        </is>
      </c>
    </row>
    <row r="2">
      <c r="A2" t="inlineStr">
        <is>
          <t>Celdas amarillas: supuestos que se pueden cambiar (también la lluvia de cada día). Todo lo verde y la tabla de abajo se calculan con fórmulas. [S] = supuesto propio sin dato.</t>
        </is>
      </c>
    </row>
    <row r="3">
      <c r="A3" s="2" t="inlineStr">
        <is>
          <t>SUPUESTOS</t>
        </is>
      </c>
      <c r="C3" s="2" t="inlineStr">
        <is>
          <t>Fuente o razón</t>
        </is>
      </c>
    </row>
    <row r="4">
      <c r="A4" t="inlineStr">
        <is>
          <t>Fiado que saca cada mañana</t>
        </is>
      </c>
      <c r="B4" s="3" t="n">
        <v>62000</v>
      </c>
      <c r="C4" t="inlineStr">
        <is>
          <t>Cota superior: ventas diarias del ambulante menos su ingreso (DANE, EMICRON ambulantes 2025). No medido para carritos [S]</t>
        </is>
      </c>
    </row>
    <row r="5">
      <c r="A5" t="inlineStr">
        <is>
          <t>Ingreso neto de un día normal</t>
        </is>
      </c>
      <c r="B5" s="3" t="n">
        <v>38600</v>
      </c>
      <c r="C5" t="inlineStr">
        <is>
          <t>DANE, EMICRON ambulantes 2025, C. 24: unos $1,0 millón al mes en 26 días de venta</t>
        </is>
      </c>
    </row>
    <row r="6">
      <c r="A6" t="inlineStr">
        <is>
          <t>Ventas en día de lluvia (% de un día normal)</t>
        </is>
      </c>
      <c r="B6" s="4" t="n">
        <v>0.3</v>
      </c>
      <c r="C6" t="inlineStr">
        <is>
          <t>[S] sin dato; primera pregunta del piloto</t>
        </is>
      </c>
    </row>
    <row r="7">
      <c r="A7" t="inlineStr">
        <is>
          <t>Ventas en día de lluvia leve, bajo el umbral (%)</t>
        </is>
      </c>
      <c r="B7" s="4" t="n">
        <v>0.85</v>
      </c>
      <c r="C7" t="inlineStr">
        <is>
          <t>[S] sin dato</t>
        </is>
      </c>
    </row>
    <row r="8">
      <c r="A8" t="inlineStr">
        <is>
          <t>Lo que se queda para la casa el día de lluvia (tope)</t>
        </is>
      </c>
      <c r="B8" s="3" t="n">
        <v>15000</v>
      </c>
      <c r="C8" t="inlineStr">
        <is>
          <t>[S] piso para la casa: de lo vendido ese día guarda hasta este monto y el resto abona a su deuda, igual en los dos caminos</t>
        </is>
      </c>
    </row>
    <row r="9">
      <c r="A9" t="inlineStr">
        <is>
          <t>Umbral de lluvia (mm entre 7 a. m. y 7 p. m.)</t>
        </is>
      </c>
      <c r="B9" s="5" t="n">
        <v>5</v>
      </c>
      <c r="C9" t="inlineStr">
        <is>
          <t>Regla de la cláusula; convención del frente 12b, a calibrar [S]</t>
        </is>
      </c>
    </row>
    <row r="10">
      <c r="A10" t="inlineStr">
        <is>
          <t>Días de venta para pagar lo aplazado</t>
        </is>
      </c>
      <c r="B10" s="6" t="n">
        <v>3</v>
      </c>
      <c r="C10" t="inlineStr">
        <is>
          <t>Regla de la cláusula: tercios, sin recargo</t>
        </is>
      </c>
    </row>
    <row r="11">
      <c r="A11" t="inlineStr">
        <is>
          <t>Recargo del gota a gota por préstamo</t>
        </is>
      </c>
      <c r="B11" s="4" t="n">
        <v>0.2</v>
      </c>
      <c r="C11" t="inlineStr">
        <is>
          <t>Enunciado del caso; 20,4% mensual en Cali (Martínez y Rivera-Acevedo 2019)</t>
        </is>
      </c>
    </row>
    <row r="12">
      <c r="A12" t="inlineStr">
        <is>
          <t>Cuotas diarias del gota a gota (lunes a sábado)</t>
        </is>
      </c>
      <c r="B12" s="6" t="n">
        <v>30</v>
      </c>
      <c r="C12" t="inlineStr">
        <is>
          <t>$4.000 diarios por cada $100.000 = 30 cuotas (Palomino-Martínez 2025, Palmira)</t>
        </is>
      </c>
    </row>
    <row r="14">
      <c r="A14" t="inlineStr">
        <is>
          <t>Lluvia de ejemplo (inventada para mostrar el cálculo): 3 días de disparo en 30, uno de ellos una racha de 2 días, y 2 días de lluvia leve bajo el umbral. Dato real: 26 de 294 días de venta con 5 mm o más, rachas de 1 o 2 días (IDEAM 0026055120, cálculo propio).</t>
        </is>
      </c>
    </row>
    <row r="15">
      <c r="A15" t="inlineStr">
        <is>
          <t>En los dos caminos, el día de lluvia el vendedor guarda para la casa hasta el tope de B8 y el resto abona a su deuda. Camino con cláusula: lo que no alcanzó a pagar se paga en tercios, sin recargo. Camino sin cláusula: ese hueco se cubre con un gota a gota al 20% en cuotas diarias.</t>
        </is>
      </c>
    </row>
    <row r="20">
      <c r="A20" s="2" t="inlineStr">
        <is>
          <t>RESULTADOS</t>
        </is>
      </c>
    </row>
    <row r="21">
      <c r="A21" t="inlineStr">
        <is>
          <t>Ventas de un día normal (fiado más ingreso)</t>
        </is>
      </c>
      <c r="B21" s="7">
        <f>B4+B5</f>
        <v/>
      </c>
    </row>
    <row r="23">
      <c r="A23" s="8" t="inlineStr">
        <is>
          <t>Indicador</t>
        </is>
      </c>
      <c r="B23" s="8" t="inlineStr">
        <is>
          <t>Con la cláusula</t>
        </is>
      </c>
      <c r="C23" s="8" t="inlineStr">
        <is>
          <t>Con gota a gota</t>
        </is>
      </c>
    </row>
    <row r="24">
      <c r="A24" t="inlineStr">
        <is>
          <t>Días en que rigió la cláusula en el ejemplo</t>
        </is>
      </c>
      <c r="B24" s="9">
        <f>COUNTIF(C35:C64,"Sí")</f>
        <v/>
      </c>
      <c r="C24" s="9">
        <f>COUNTIF(C35:C64,"Sí")</f>
        <v/>
      </c>
    </row>
    <row r="25">
      <c r="A25" t="inlineStr">
        <is>
          <t>Recargo o interés que paga el vendedor</t>
        </is>
      </c>
      <c r="B25" s="7">
        <f>0</f>
        <v/>
      </c>
      <c r="C25" s="7">
        <f>SUM(N35:N64)*B11</f>
        <v/>
      </c>
    </row>
    <row r="26">
      <c r="A26" t="inlineStr">
        <is>
          <t>Ese costo como % del ingreso de un día normal</t>
        </is>
      </c>
      <c r="B26" s="10">
        <f>B25/$B$5</f>
        <v/>
      </c>
      <c r="C26" s="10">
        <f>C25/$B$5</f>
        <v/>
      </c>
    </row>
    <row r="27">
      <c r="A27" t="inlineStr">
        <is>
          <t>Préstamos de gota a gota que tuvo que tomar</t>
        </is>
      </c>
      <c r="B27" s="9">
        <f>0</f>
        <v/>
      </c>
      <c r="C27" s="9">
        <f>COUNTIF(N35:N64,"&gt;0")</f>
        <v/>
      </c>
    </row>
    <row r="28">
      <c r="A28" t="inlineStr">
        <is>
          <t>De esos, préstamos que también pagan cuotas de otro gota a gota</t>
        </is>
      </c>
      <c r="B28" s="9">
        <f>0</f>
        <v/>
      </c>
      <c r="C28" s="9">
        <f>COUNTIFS(N35:N64,"&gt;0",M35:M64,"&gt;0")</f>
        <v/>
      </c>
    </row>
    <row r="29">
      <c r="A29" t="inlineStr">
        <is>
          <t>Queda para la casa en 30 días de venta (sin restar lo que sigue debiendo)</t>
        </is>
      </c>
      <c r="B29" s="7">
        <f>SUM(L35:L64)</f>
        <v/>
      </c>
      <c r="C29" s="7">
        <f>SUM(P35:P64)</f>
        <v/>
      </c>
    </row>
    <row r="30">
      <c r="A30" t="inlineStr">
        <is>
          <t>Lo que sigue debiendo al día 30 (fuera del fiado del día)</t>
        </is>
      </c>
      <c r="B30" s="7">
        <f>K64</f>
        <v/>
      </c>
      <c r="C30" s="7">
        <f>O64</f>
        <v/>
      </c>
    </row>
    <row r="31">
      <c r="A31" t="inlineStr">
        <is>
          <t>Casa menos deuda al día 30 (la diferencia es el interés)</t>
        </is>
      </c>
      <c r="B31" s="7">
        <f>B29-B30</f>
        <v/>
      </c>
      <c r="C31" s="7">
        <f>C29-C30</f>
        <v/>
      </c>
    </row>
    <row r="32">
      <c r="A32" t="inlineStr">
        <is>
          <t>Mayor saldo aplazado que cargó quien fía</t>
        </is>
      </c>
      <c r="B32" s="7">
        <f>MAX(K35:K64)</f>
        <v/>
      </c>
      <c r="C32" s="7">
        <f>0</f>
        <v/>
      </c>
    </row>
    <row r="33" ht="45" customHeight="1">
      <c r="A33" s="8" t="inlineStr">
        <is>
          <t>Día de venta</t>
        </is>
      </c>
      <c r="B33" s="8" t="inlineStr">
        <is>
          <t>Lluvia (mm)</t>
        </is>
      </c>
      <c r="C33" s="8" t="inlineStr">
        <is>
          <t>¿Rige la cláusula?</t>
        </is>
      </c>
      <c r="D33" s="8" t="inlineStr">
        <is>
          <t>Ventas del día</t>
        </is>
      </c>
      <c r="E33" s="8" t="inlineStr">
        <is>
          <t>Caja para pagar</t>
        </is>
      </c>
      <c r="F33" s="8" t="inlineStr">
        <is>
          <t>Fiado del día</t>
        </is>
      </c>
      <c r="G33" s="8" t="inlineStr">
        <is>
          <t>Cláusula: cuota de lo aplazado</t>
        </is>
      </c>
      <c r="H33" s="8" t="inlineStr">
        <is>
          <t>Cláusula: paga al que fía</t>
        </is>
      </c>
      <c r="I33" s="8" t="inlineStr">
        <is>
          <t>Cláusula: se aplaza hoy</t>
        </is>
      </c>
      <c r="J33" s="8" t="inlineStr">
        <is>
          <t>Cláusula: faltante sin cubrir</t>
        </is>
      </c>
      <c r="K33" s="8" t="inlineStr">
        <is>
          <t>Cláusula: saldo aplazado con quien fía</t>
        </is>
      </c>
      <c r="L33" s="8" t="inlineStr">
        <is>
          <t>Cláusula: queda para la casa</t>
        </is>
      </c>
      <c r="M33" s="8" t="inlineStr">
        <is>
          <t>Gota a gota: cuota de hoy</t>
        </is>
      </c>
      <c r="N33" s="8" t="inlineStr">
        <is>
          <t>Gota a gota: préstamo nuevo</t>
        </is>
      </c>
      <c r="O33" s="8" t="inlineStr">
        <is>
          <t>Gota a gota: saldo con el prestamista</t>
        </is>
      </c>
      <c r="P33" s="8" t="inlineStr">
        <is>
          <t>Gota a gota: queda para la casa</t>
        </is>
      </c>
    </row>
    <row r="34">
      <c r="A34" t="n">
        <v>0</v>
      </c>
      <c r="B34" t="n">
        <v>0</v>
      </c>
      <c r="C34" t="inlineStr">
        <is>
          <t>Inicio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1">
        <f>A34+1</f>
        <v/>
      </c>
      <c r="B35" s="5" t="n">
        <v>0</v>
      </c>
      <c r="C35" s="11">
        <f>IF(B35&gt;=$B$9,"Sí","No")</f>
        <v/>
      </c>
      <c r="D35" s="12">
        <f>IF(C35="Sí",$B$21*$B$6,IF(B35&gt;0,$B$21*$B$7,$B$21))</f>
        <v/>
      </c>
      <c r="E35" s="12">
        <f>IF(C35="Sí",MAX(0,D35-$B$8),D35)</f>
        <v/>
      </c>
      <c r="F35" s="12">
        <f>$B$4</f>
        <v/>
      </c>
      <c r="G35" s="12">
        <f>SUMIFS(I$34:I34,A$34:A34,"&gt;="&amp;(A35-$B$10))/$B$10</f>
        <v/>
      </c>
      <c r="H35" s="12">
        <f>MIN(F35+G35,E35)</f>
        <v/>
      </c>
      <c r="I35" s="12">
        <f>IF(C35="Sí",F35+G35-H35,0)</f>
        <v/>
      </c>
      <c r="J35" s="12">
        <f>IF(C35="No",F35+G35-H35,0)</f>
        <v/>
      </c>
      <c r="K35" s="12">
        <f>K34+I35-G35</f>
        <v/>
      </c>
      <c r="L35" s="12">
        <f>D35-H35</f>
        <v/>
      </c>
      <c r="M35" s="12">
        <f>SUMIFS(N$34:N34,A$34:A34,"&gt;="&amp;(A35-$B$12))*(1+$B$11)/$B$12</f>
        <v/>
      </c>
      <c r="N35" s="12">
        <f>MAX(0,F35+M35-E35)</f>
        <v/>
      </c>
      <c r="O35" s="12">
        <f>O34+N35*(1+$B$11)-M35</f>
        <v/>
      </c>
      <c r="P35" s="12">
        <f>D35-MIN(F35+M35,E35)</f>
        <v/>
      </c>
    </row>
    <row r="36">
      <c r="A36" s="11">
        <f>A35+1</f>
        <v/>
      </c>
      <c r="B36" s="5" t="n">
        <v>0</v>
      </c>
      <c r="C36" s="11">
        <f>IF(B36&gt;=$B$9,"Sí","No")</f>
        <v/>
      </c>
      <c r="D36" s="12">
        <f>IF(C36="Sí",$B$21*$B$6,IF(B36&gt;0,$B$21*$B$7,$B$21))</f>
        <v/>
      </c>
      <c r="E36" s="12">
        <f>IF(C36="Sí",MAX(0,D36-$B$8),D36)</f>
        <v/>
      </c>
      <c r="F36" s="12">
        <f>$B$4</f>
        <v/>
      </c>
      <c r="G36" s="12">
        <f>SUMIFS(I$34:I35,A$34:A35,"&gt;="&amp;(A36-$B$10))/$B$10</f>
        <v/>
      </c>
      <c r="H36" s="12">
        <f>MIN(F36+G36,E36)</f>
        <v/>
      </c>
      <c r="I36" s="12">
        <f>IF(C36="Sí",F36+G36-H36,0)</f>
        <v/>
      </c>
      <c r="J36" s="12">
        <f>IF(C36="No",F36+G36-H36,0)</f>
        <v/>
      </c>
      <c r="K36" s="12">
        <f>K35+I36-G36</f>
        <v/>
      </c>
      <c r="L36" s="12">
        <f>D36-H36</f>
        <v/>
      </c>
      <c r="M36" s="12">
        <f>SUMIFS(N$34:N35,A$34:A35,"&gt;="&amp;(A36-$B$12))*(1+$B$11)/$B$12</f>
        <v/>
      </c>
      <c r="N36" s="12">
        <f>MAX(0,F36+M36-E36)</f>
        <v/>
      </c>
      <c r="O36" s="12">
        <f>O35+N36*(1+$B$11)-M36</f>
        <v/>
      </c>
      <c r="P36" s="12">
        <f>D36-MIN(F36+M36,E36)</f>
        <v/>
      </c>
    </row>
    <row r="37">
      <c r="A37" s="11">
        <f>A36+1</f>
        <v/>
      </c>
      <c r="B37" s="5" t="n">
        <v>0</v>
      </c>
      <c r="C37" s="11">
        <f>IF(B37&gt;=$B$9,"Sí","No")</f>
        <v/>
      </c>
      <c r="D37" s="12">
        <f>IF(C37="Sí",$B$21*$B$6,IF(B37&gt;0,$B$21*$B$7,$B$21))</f>
        <v/>
      </c>
      <c r="E37" s="12">
        <f>IF(C37="Sí",MAX(0,D37-$B$8),D37)</f>
        <v/>
      </c>
      <c r="F37" s="12">
        <f>$B$4</f>
        <v/>
      </c>
      <c r="G37" s="12">
        <f>SUMIFS(I$34:I36,A$34:A36,"&gt;="&amp;(A37-$B$10))/$B$10</f>
        <v/>
      </c>
      <c r="H37" s="12">
        <f>MIN(F37+G37,E37)</f>
        <v/>
      </c>
      <c r="I37" s="12">
        <f>IF(C37="Sí",F37+G37-H37,0)</f>
        <v/>
      </c>
      <c r="J37" s="12">
        <f>IF(C37="No",F37+G37-H37,0)</f>
        <v/>
      </c>
      <c r="K37" s="12">
        <f>K36+I37-G37</f>
        <v/>
      </c>
      <c r="L37" s="12">
        <f>D37-H37</f>
        <v/>
      </c>
      <c r="M37" s="12">
        <f>SUMIFS(N$34:N36,A$34:A36,"&gt;="&amp;(A37-$B$12))*(1+$B$11)/$B$12</f>
        <v/>
      </c>
      <c r="N37" s="12">
        <f>MAX(0,F37+M37-E37)</f>
        <v/>
      </c>
      <c r="O37" s="12">
        <f>O36+N37*(1+$B$11)-M37</f>
        <v/>
      </c>
      <c r="P37" s="12">
        <f>D37-MIN(F37+M37,E37)</f>
        <v/>
      </c>
    </row>
    <row r="38">
      <c r="A38" s="11">
        <f>A37+1</f>
        <v/>
      </c>
      <c r="B38" s="5" t="n">
        <v>0</v>
      </c>
      <c r="C38" s="11">
        <f>IF(B38&gt;=$B$9,"Sí","No")</f>
        <v/>
      </c>
      <c r="D38" s="12">
        <f>IF(C38="Sí",$B$21*$B$6,IF(B38&gt;0,$B$21*$B$7,$B$21))</f>
        <v/>
      </c>
      <c r="E38" s="12">
        <f>IF(C38="Sí",MAX(0,D38-$B$8),D38)</f>
        <v/>
      </c>
      <c r="F38" s="12">
        <f>$B$4</f>
        <v/>
      </c>
      <c r="G38" s="12">
        <f>SUMIFS(I$34:I37,A$34:A37,"&gt;="&amp;(A38-$B$10))/$B$10</f>
        <v/>
      </c>
      <c r="H38" s="12">
        <f>MIN(F38+G38,E38)</f>
        <v/>
      </c>
      <c r="I38" s="12">
        <f>IF(C38="Sí",F38+G38-H38,0)</f>
        <v/>
      </c>
      <c r="J38" s="12">
        <f>IF(C38="No",F38+G38-H38,0)</f>
        <v/>
      </c>
      <c r="K38" s="12">
        <f>K37+I38-G38</f>
        <v/>
      </c>
      <c r="L38" s="12">
        <f>D38-H38</f>
        <v/>
      </c>
      <c r="M38" s="12">
        <f>SUMIFS(N$34:N37,A$34:A37,"&gt;="&amp;(A38-$B$12))*(1+$B$11)/$B$12</f>
        <v/>
      </c>
      <c r="N38" s="12">
        <f>MAX(0,F38+M38-E38)</f>
        <v/>
      </c>
      <c r="O38" s="12">
        <f>O37+N38*(1+$B$11)-M38</f>
        <v/>
      </c>
      <c r="P38" s="12">
        <f>D38-MIN(F38+M38,E38)</f>
        <v/>
      </c>
    </row>
    <row r="39">
      <c r="A39" s="11">
        <f>A38+1</f>
        <v/>
      </c>
      <c r="B39" s="5" t="n">
        <v>12.4</v>
      </c>
      <c r="C39" s="11">
        <f>IF(B39&gt;=$B$9,"Sí","No")</f>
        <v/>
      </c>
      <c r="D39" s="12">
        <f>IF(C39="Sí",$B$21*$B$6,IF(B39&gt;0,$B$21*$B$7,$B$21))</f>
        <v/>
      </c>
      <c r="E39" s="12">
        <f>IF(C39="Sí",MAX(0,D39-$B$8),D39)</f>
        <v/>
      </c>
      <c r="F39" s="12">
        <f>$B$4</f>
        <v/>
      </c>
      <c r="G39" s="12">
        <f>SUMIFS(I$34:I38,A$34:A38,"&gt;="&amp;(A39-$B$10))/$B$10</f>
        <v/>
      </c>
      <c r="H39" s="12">
        <f>MIN(F39+G39,E39)</f>
        <v/>
      </c>
      <c r="I39" s="12">
        <f>IF(C39="Sí",F39+G39-H39,0)</f>
        <v/>
      </c>
      <c r="J39" s="12">
        <f>IF(C39="No",F39+G39-H39,0)</f>
        <v/>
      </c>
      <c r="K39" s="12">
        <f>K38+I39-G39</f>
        <v/>
      </c>
      <c r="L39" s="12">
        <f>D39-H39</f>
        <v/>
      </c>
      <c r="M39" s="12">
        <f>SUMIFS(N$34:N38,A$34:A38,"&gt;="&amp;(A39-$B$12))*(1+$B$11)/$B$12</f>
        <v/>
      </c>
      <c r="N39" s="12">
        <f>MAX(0,F39+M39-E39)</f>
        <v/>
      </c>
      <c r="O39" s="12">
        <f>O38+N39*(1+$B$11)-M39</f>
        <v/>
      </c>
      <c r="P39" s="12">
        <f>D39-MIN(F39+M39,E39)</f>
        <v/>
      </c>
    </row>
    <row r="40">
      <c r="A40" s="11">
        <f>A39+1</f>
        <v/>
      </c>
      <c r="B40" s="5" t="n">
        <v>0</v>
      </c>
      <c r="C40" s="11">
        <f>IF(B40&gt;=$B$9,"Sí","No")</f>
        <v/>
      </c>
      <c r="D40" s="12">
        <f>IF(C40="Sí",$B$21*$B$6,IF(B40&gt;0,$B$21*$B$7,$B$21))</f>
        <v/>
      </c>
      <c r="E40" s="12">
        <f>IF(C40="Sí",MAX(0,D40-$B$8),D40)</f>
        <v/>
      </c>
      <c r="F40" s="12">
        <f>$B$4</f>
        <v/>
      </c>
      <c r="G40" s="12">
        <f>SUMIFS(I$34:I39,A$34:A39,"&gt;="&amp;(A40-$B$10))/$B$10</f>
        <v/>
      </c>
      <c r="H40" s="12">
        <f>MIN(F40+G40,E40)</f>
        <v/>
      </c>
      <c r="I40" s="12">
        <f>IF(C40="Sí",F40+G40-H40,0)</f>
        <v/>
      </c>
      <c r="J40" s="12">
        <f>IF(C40="No",F40+G40-H40,0)</f>
        <v/>
      </c>
      <c r="K40" s="12">
        <f>K39+I40-G40</f>
        <v/>
      </c>
      <c r="L40" s="12">
        <f>D40-H40</f>
        <v/>
      </c>
      <c r="M40" s="12">
        <f>SUMIFS(N$34:N39,A$34:A39,"&gt;="&amp;(A40-$B$12))*(1+$B$11)/$B$12</f>
        <v/>
      </c>
      <c r="N40" s="12">
        <f>MAX(0,F40+M40-E40)</f>
        <v/>
      </c>
      <c r="O40" s="12">
        <f>O39+N40*(1+$B$11)-M40</f>
        <v/>
      </c>
      <c r="P40" s="12">
        <f>D40-MIN(F40+M40,E40)</f>
        <v/>
      </c>
    </row>
    <row r="41">
      <c r="A41" s="11">
        <f>A40+1</f>
        <v/>
      </c>
      <c r="B41" s="5" t="n">
        <v>0</v>
      </c>
      <c r="C41" s="11">
        <f>IF(B41&gt;=$B$9,"Sí","No")</f>
        <v/>
      </c>
      <c r="D41" s="12">
        <f>IF(C41="Sí",$B$21*$B$6,IF(B41&gt;0,$B$21*$B$7,$B$21))</f>
        <v/>
      </c>
      <c r="E41" s="12">
        <f>IF(C41="Sí",MAX(0,D41-$B$8),D41)</f>
        <v/>
      </c>
      <c r="F41" s="12">
        <f>$B$4</f>
        <v/>
      </c>
      <c r="G41" s="12">
        <f>SUMIFS(I$34:I40,A$34:A40,"&gt;="&amp;(A41-$B$10))/$B$10</f>
        <v/>
      </c>
      <c r="H41" s="12">
        <f>MIN(F41+G41,E41)</f>
        <v/>
      </c>
      <c r="I41" s="12">
        <f>IF(C41="Sí",F41+G41-H41,0)</f>
        <v/>
      </c>
      <c r="J41" s="12">
        <f>IF(C41="No",F41+G41-H41,0)</f>
        <v/>
      </c>
      <c r="K41" s="12">
        <f>K40+I41-G41</f>
        <v/>
      </c>
      <c r="L41" s="12">
        <f>D41-H41</f>
        <v/>
      </c>
      <c r="M41" s="12">
        <f>SUMIFS(N$34:N40,A$34:A40,"&gt;="&amp;(A41-$B$12))*(1+$B$11)/$B$12</f>
        <v/>
      </c>
      <c r="N41" s="12">
        <f>MAX(0,F41+M41-E41)</f>
        <v/>
      </c>
      <c r="O41" s="12">
        <f>O40+N41*(1+$B$11)-M41</f>
        <v/>
      </c>
      <c r="P41" s="12">
        <f>D41-MIN(F41+M41,E41)</f>
        <v/>
      </c>
    </row>
    <row r="42">
      <c r="A42" s="11">
        <f>A41+1</f>
        <v/>
      </c>
      <c r="B42" s="5" t="n">
        <v>0</v>
      </c>
      <c r="C42" s="11">
        <f>IF(B42&gt;=$B$9,"Sí","No")</f>
        <v/>
      </c>
      <c r="D42" s="12">
        <f>IF(C42="Sí",$B$21*$B$6,IF(B42&gt;0,$B$21*$B$7,$B$21))</f>
        <v/>
      </c>
      <c r="E42" s="12">
        <f>IF(C42="Sí",MAX(0,D42-$B$8),D42)</f>
        <v/>
      </c>
      <c r="F42" s="12">
        <f>$B$4</f>
        <v/>
      </c>
      <c r="G42" s="12">
        <f>SUMIFS(I$34:I41,A$34:A41,"&gt;="&amp;(A42-$B$10))/$B$10</f>
        <v/>
      </c>
      <c r="H42" s="12">
        <f>MIN(F42+G42,E42)</f>
        <v/>
      </c>
      <c r="I42" s="12">
        <f>IF(C42="Sí",F42+G42-H42,0)</f>
        <v/>
      </c>
      <c r="J42" s="12">
        <f>IF(C42="No",F42+G42-H42,0)</f>
        <v/>
      </c>
      <c r="K42" s="12">
        <f>K41+I42-G42</f>
        <v/>
      </c>
      <c r="L42" s="12">
        <f>D42-H42</f>
        <v/>
      </c>
      <c r="M42" s="12">
        <f>SUMIFS(N$34:N41,A$34:A41,"&gt;="&amp;(A42-$B$12))*(1+$B$11)/$B$12</f>
        <v/>
      </c>
      <c r="N42" s="12">
        <f>MAX(0,F42+M42-E42)</f>
        <v/>
      </c>
      <c r="O42" s="12">
        <f>O41+N42*(1+$B$11)-M42</f>
        <v/>
      </c>
      <c r="P42" s="12">
        <f>D42-MIN(F42+M42,E42)</f>
        <v/>
      </c>
    </row>
    <row r="43">
      <c r="A43" s="11">
        <f>A42+1</f>
        <v/>
      </c>
      <c r="B43" s="5" t="n">
        <v>1.2</v>
      </c>
      <c r="C43" s="11">
        <f>IF(B43&gt;=$B$9,"Sí","No")</f>
        <v/>
      </c>
      <c r="D43" s="12">
        <f>IF(C43="Sí",$B$21*$B$6,IF(B43&gt;0,$B$21*$B$7,$B$21))</f>
        <v/>
      </c>
      <c r="E43" s="12">
        <f>IF(C43="Sí",MAX(0,D43-$B$8),D43)</f>
        <v/>
      </c>
      <c r="F43" s="12">
        <f>$B$4</f>
        <v/>
      </c>
      <c r="G43" s="12">
        <f>SUMIFS(I$34:I42,A$34:A42,"&gt;="&amp;(A43-$B$10))/$B$10</f>
        <v/>
      </c>
      <c r="H43" s="12">
        <f>MIN(F43+G43,E43)</f>
        <v/>
      </c>
      <c r="I43" s="12">
        <f>IF(C43="Sí",F43+G43-H43,0)</f>
        <v/>
      </c>
      <c r="J43" s="12">
        <f>IF(C43="No",F43+G43-H43,0)</f>
        <v/>
      </c>
      <c r="K43" s="12">
        <f>K42+I43-G43</f>
        <v/>
      </c>
      <c r="L43" s="12">
        <f>D43-H43</f>
        <v/>
      </c>
      <c r="M43" s="12">
        <f>SUMIFS(N$34:N42,A$34:A42,"&gt;="&amp;(A43-$B$12))*(1+$B$11)/$B$12</f>
        <v/>
      </c>
      <c r="N43" s="12">
        <f>MAX(0,F43+M43-E43)</f>
        <v/>
      </c>
      <c r="O43" s="12">
        <f>O42+N43*(1+$B$11)-M43</f>
        <v/>
      </c>
      <c r="P43" s="12">
        <f>D43-MIN(F43+M43,E43)</f>
        <v/>
      </c>
    </row>
    <row r="44">
      <c r="A44" s="11">
        <f>A43+1</f>
        <v/>
      </c>
      <c r="B44" s="5" t="n">
        <v>0</v>
      </c>
      <c r="C44" s="11">
        <f>IF(B44&gt;=$B$9,"Sí","No")</f>
        <v/>
      </c>
      <c r="D44" s="12">
        <f>IF(C44="Sí",$B$21*$B$6,IF(B44&gt;0,$B$21*$B$7,$B$21))</f>
        <v/>
      </c>
      <c r="E44" s="12">
        <f>IF(C44="Sí",MAX(0,D44-$B$8),D44)</f>
        <v/>
      </c>
      <c r="F44" s="12">
        <f>$B$4</f>
        <v/>
      </c>
      <c r="G44" s="12">
        <f>SUMIFS(I$34:I43,A$34:A43,"&gt;="&amp;(A44-$B$10))/$B$10</f>
        <v/>
      </c>
      <c r="H44" s="12">
        <f>MIN(F44+G44,E44)</f>
        <v/>
      </c>
      <c r="I44" s="12">
        <f>IF(C44="Sí",F44+G44-H44,0)</f>
        <v/>
      </c>
      <c r="J44" s="12">
        <f>IF(C44="No",F44+G44-H44,0)</f>
        <v/>
      </c>
      <c r="K44" s="12">
        <f>K43+I44-G44</f>
        <v/>
      </c>
      <c r="L44" s="12">
        <f>D44-H44</f>
        <v/>
      </c>
      <c r="M44" s="12">
        <f>SUMIFS(N$34:N43,A$34:A43,"&gt;="&amp;(A44-$B$12))*(1+$B$11)/$B$12</f>
        <v/>
      </c>
      <c r="N44" s="12">
        <f>MAX(0,F44+M44-E44)</f>
        <v/>
      </c>
      <c r="O44" s="12">
        <f>O43+N44*(1+$B$11)-M44</f>
        <v/>
      </c>
      <c r="P44" s="12">
        <f>D44-MIN(F44+M44,E44)</f>
        <v/>
      </c>
    </row>
    <row r="45">
      <c r="A45" s="11">
        <f>A44+1</f>
        <v/>
      </c>
      <c r="B45" s="5" t="n">
        <v>0</v>
      </c>
      <c r="C45" s="11">
        <f>IF(B45&gt;=$B$9,"Sí","No")</f>
        <v/>
      </c>
      <c r="D45" s="12">
        <f>IF(C45="Sí",$B$21*$B$6,IF(B45&gt;0,$B$21*$B$7,$B$21))</f>
        <v/>
      </c>
      <c r="E45" s="12">
        <f>IF(C45="Sí",MAX(0,D45-$B$8),D45)</f>
        <v/>
      </c>
      <c r="F45" s="12">
        <f>$B$4</f>
        <v/>
      </c>
      <c r="G45" s="12">
        <f>SUMIFS(I$34:I44,A$34:A44,"&gt;="&amp;(A45-$B$10))/$B$10</f>
        <v/>
      </c>
      <c r="H45" s="12">
        <f>MIN(F45+G45,E45)</f>
        <v/>
      </c>
      <c r="I45" s="12">
        <f>IF(C45="Sí",F45+G45-H45,0)</f>
        <v/>
      </c>
      <c r="J45" s="12">
        <f>IF(C45="No",F45+G45-H45,0)</f>
        <v/>
      </c>
      <c r="K45" s="12">
        <f>K44+I45-G45</f>
        <v/>
      </c>
      <c r="L45" s="12">
        <f>D45-H45</f>
        <v/>
      </c>
      <c r="M45" s="12">
        <f>SUMIFS(N$34:N44,A$34:A44,"&gt;="&amp;(A45-$B$12))*(1+$B$11)/$B$12</f>
        <v/>
      </c>
      <c r="N45" s="12">
        <f>MAX(0,F45+M45-E45)</f>
        <v/>
      </c>
      <c r="O45" s="12">
        <f>O44+N45*(1+$B$11)-M45</f>
        <v/>
      </c>
      <c r="P45" s="12">
        <f>D45-MIN(F45+M45,E45)</f>
        <v/>
      </c>
    </row>
    <row r="46">
      <c r="A46" s="11">
        <f>A45+1</f>
        <v/>
      </c>
      <c r="B46" s="5" t="n">
        <v>0</v>
      </c>
      <c r="C46" s="11">
        <f>IF(B46&gt;=$B$9,"Sí","No")</f>
        <v/>
      </c>
      <c r="D46" s="12">
        <f>IF(C46="Sí",$B$21*$B$6,IF(B46&gt;0,$B$21*$B$7,$B$21))</f>
        <v/>
      </c>
      <c r="E46" s="12">
        <f>IF(C46="Sí",MAX(0,D46-$B$8),D46)</f>
        <v/>
      </c>
      <c r="F46" s="12">
        <f>$B$4</f>
        <v/>
      </c>
      <c r="G46" s="12">
        <f>SUMIFS(I$34:I45,A$34:A45,"&gt;="&amp;(A46-$B$10))/$B$10</f>
        <v/>
      </c>
      <c r="H46" s="12">
        <f>MIN(F46+G46,E46)</f>
        <v/>
      </c>
      <c r="I46" s="12">
        <f>IF(C46="Sí",F46+G46-H46,0)</f>
        <v/>
      </c>
      <c r="J46" s="12">
        <f>IF(C46="No",F46+G46-H46,0)</f>
        <v/>
      </c>
      <c r="K46" s="12">
        <f>K45+I46-G46</f>
        <v/>
      </c>
      <c r="L46" s="12">
        <f>D46-H46</f>
        <v/>
      </c>
      <c r="M46" s="12">
        <f>SUMIFS(N$34:N45,A$34:A45,"&gt;="&amp;(A46-$B$12))*(1+$B$11)/$B$12</f>
        <v/>
      </c>
      <c r="N46" s="12">
        <f>MAX(0,F46+M46-E46)</f>
        <v/>
      </c>
      <c r="O46" s="12">
        <f>O45+N46*(1+$B$11)-M46</f>
        <v/>
      </c>
      <c r="P46" s="12">
        <f>D46-MIN(F46+M46,E46)</f>
        <v/>
      </c>
    </row>
    <row r="47">
      <c r="A47" s="11">
        <f>A46+1</f>
        <v/>
      </c>
      <c r="B47" s="5" t="n">
        <v>7</v>
      </c>
      <c r="C47" s="11">
        <f>IF(B47&gt;=$B$9,"Sí","No")</f>
        <v/>
      </c>
      <c r="D47" s="12">
        <f>IF(C47="Sí",$B$21*$B$6,IF(B47&gt;0,$B$21*$B$7,$B$21))</f>
        <v/>
      </c>
      <c r="E47" s="12">
        <f>IF(C47="Sí",MAX(0,D47-$B$8),D47)</f>
        <v/>
      </c>
      <c r="F47" s="12">
        <f>$B$4</f>
        <v/>
      </c>
      <c r="G47" s="12">
        <f>SUMIFS(I$34:I46,A$34:A46,"&gt;="&amp;(A47-$B$10))/$B$10</f>
        <v/>
      </c>
      <c r="H47" s="12">
        <f>MIN(F47+G47,E47)</f>
        <v/>
      </c>
      <c r="I47" s="12">
        <f>IF(C47="Sí",F47+G47-H47,0)</f>
        <v/>
      </c>
      <c r="J47" s="12">
        <f>IF(C47="No",F47+G47-H47,0)</f>
        <v/>
      </c>
      <c r="K47" s="12">
        <f>K46+I47-G47</f>
        <v/>
      </c>
      <c r="L47" s="12">
        <f>D47-H47</f>
        <v/>
      </c>
      <c r="M47" s="12">
        <f>SUMIFS(N$34:N46,A$34:A46,"&gt;="&amp;(A47-$B$12))*(1+$B$11)/$B$12</f>
        <v/>
      </c>
      <c r="N47" s="12">
        <f>MAX(0,F47+M47-E47)</f>
        <v/>
      </c>
      <c r="O47" s="12">
        <f>O46+N47*(1+$B$11)-M47</f>
        <v/>
      </c>
      <c r="P47" s="12">
        <f>D47-MIN(F47+M47,E47)</f>
        <v/>
      </c>
    </row>
    <row r="48">
      <c r="A48" s="11">
        <f>A47+1</f>
        <v/>
      </c>
      <c r="B48" s="5" t="n">
        <v>9.199999999999999</v>
      </c>
      <c r="C48" s="11">
        <f>IF(B48&gt;=$B$9,"Sí","No")</f>
        <v/>
      </c>
      <c r="D48" s="12">
        <f>IF(C48="Sí",$B$21*$B$6,IF(B48&gt;0,$B$21*$B$7,$B$21))</f>
        <v/>
      </c>
      <c r="E48" s="12">
        <f>IF(C48="Sí",MAX(0,D48-$B$8),D48)</f>
        <v/>
      </c>
      <c r="F48" s="12">
        <f>$B$4</f>
        <v/>
      </c>
      <c r="G48" s="12">
        <f>SUMIFS(I$34:I47,A$34:A47,"&gt;="&amp;(A48-$B$10))/$B$10</f>
        <v/>
      </c>
      <c r="H48" s="12">
        <f>MIN(F48+G48,E48)</f>
        <v/>
      </c>
      <c r="I48" s="12">
        <f>IF(C48="Sí",F48+G48-H48,0)</f>
        <v/>
      </c>
      <c r="J48" s="12">
        <f>IF(C48="No",F48+G48-H48,0)</f>
        <v/>
      </c>
      <c r="K48" s="12">
        <f>K47+I48-G48</f>
        <v/>
      </c>
      <c r="L48" s="12">
        <f>D48-H48</f>
        <v/>
      </c>
      <c r="M48" s="12">
        <f>SUMIFS(N$34:N47,A$34:A47,"&gt;="&amp;(A48-$B$12))*(1+$B$11)/$B$12</f>
        <v/>
      </c>
      <c r="N48" s="12">
        <f>MAX(0,F48+M48-E48)</f>
        <v/>
      </c>
      <c r="O48" s="12">
        <f>O47+N48*(1+$B$11)-M48</f>
        <v/>
      </c>
      <c r="P48" s="12">
        <f>D48-MIN(F48+M48,E48)</f>
        <v/>
      </c>
    </row>
    <row r="49">
      <c r="A49" s="11">
        <f>A48+1</f>
        <v/>
      </c>
      <c r="B49" s="5" t="n">
        <v>0</v>
      </c>
      <c r="C49" s="11">
        <f>IF(B49&gt;=$B$9,"Sí","No")</f>
        <v/>
      </c>
      <c r="D49" s="12">
        <f>IF(C49="Sí",$B$21*$B$6,IF(B49&gt;0,$B$21*$B$7,$B$21))</f>
        <v/>
      </c>
      <c r="E49" s="12">
        <f>IF(C49="Sí",MAX(0,D49-$B$8),D49)</f>
        <v/>
      </c>
      <c r="F49" s="12">
        <f>$B$4</f>
        <v/>
      </c>
      <c r="G49" s="12">
        <f>SUMIFS(I$34:I48,A$34:A48,"&gt;="&amp;(A49-$B$10))/$B$10</f>
        <v/>
      </c>
      <c r="H49" s="12">
        <f>MIN(F49+G49,E49)</f>
        <v/>
      </c>
      <c r="I49" s="12">
        <f>IF(C49="Sí",F49+G49-H49,0)</f>
        <v/>
      </c>
      <c r="J49" s="12">
        <f>IF(C49="No",F49+G49-H49,0)</f>
        <v/>
      </c>
      <c r="K49" s="12">
        <f>K48+I49-G49</f>
        <v/>
      </c>
      <c r="L49" s="12">
        <f>D49-H49</f>
        <v/>
      </c>
      <c r="M49" s="12">
        <f>SUMIFS(N$34:N48,A$34:A48,"&gt;="&amp;(A49-$B$12))*(1+$B$11)/$B$12</f>
        <v/>
      </c>
      <c r="N49" s="12">
        <f>MAX(0,F49+M49-E49)</f>
        <v/>
      </c>
      <c r="O49" s="12">
        <f>O48+N49*(1+$B$11)-M49</f>
        <v/>
      </c>
      <c r="P49" s="12">
        <f>D49-MIN(F49+M49,E49)</f>
        <v/>
      </c>
    </row>
    <row r="50">
      <c r="A50" s="11">
        <f>A49+1</f>
        <v/>
      </c>
      <c r="B50" s="5" t="n">
        <v>0</v>
      </c>
      <c r="C50" s="11">
        <f>IF(B50&gt;=$B$9,"Sí","No")</f>
        <v/>
      </c>
      <c r="D50" s="12">
        <f>IF(C50="Sí",$B$21*$B$6,IF(B50&gt;0,$B$21*$B$7,$B$21))</f>
        <v/>
      </c>
      <c r="E50" s="12">
        <f>IF(C50="Sí",MAX(0,D50-$B$8),D50)</f>
        <v/>
      </c>
      <c r="F50" s="12">
        <f>$B$4</f>
        <v/>
      </c>
      <c r="G50" s="12">
        <f>SUMIFS(I$34:I49,A$34:A49,"&gt;="&amp;(A50-$B$10))/$B$10</f>
        <v/>
      </c>
      <c r="H50" s="12">
        <f>MIN(F50+G50,E50)</f>
        <v/>
      </c>
      <c r="I50" s="12">
        <f>IF(C50="Sí",F50+G50-H50,0)</f>
        <v/>
      </c>
      <c r="J50" s="12">
        <f>IF(C50="No",F50+G50-H50,0)</f>
        <v/>
      </c>
      <c r="K50" s="12">
        <f>K49+I50-G50</f>
        <v/>
      </c>
      <c r="L50" s="12">
        <f>D50-H50</f>
        <v/>
      </c>
      <c r="M50" s="12">
        <f>SUMIFS(N$34:N49,A$34:A49,"&gt;="&amp;(A50-$B$12))*(1+$B$11)/$B$12</f>
        <v/>
      </c>
      <c r="N50" s="12">
        <f>MAX(0,F50+M50-E50)</f>
        <v/>
      </c>
      <c r="O50" s="12">
        <f>O49+N50*(1+$B$11)-M50</f>
        <v/>
      </c>
      <c r="P50" s="12">
        <f>D50-MIN(F50+M50,E50)</f>
        <v/>
      </c>
    </row>
    <row r="51">
      <c r="A51" s="11">
        <f>A50+1</f>
        <v/>
      </c>
      <c r="B51" s="5" t="n">
        <v>0</v>
      </c>
      <c r="C51" s="11">
        <f>IF(B51&gt;=$B$9,"Sí","No")</f>
        <v/>
      </c>
      <c r="D51" s="12">
        <f>IF(C51="Sí",$B$21*$B$6,IF(B51&gt;0,$B$21*$B$7,$B$21))</f>
        <v/>
      </c>
      <c r="E51" s="12">
        <f>IF(C51="Sí",MAX(0,D51-$B$8),D51)</f>
        <v/>
      </c>
      <c r="F51" s="12">
        <f>$B$4</f>
        <v/>
      </c>
      <c r="G51" s="12">
        <f>SUMIFS(I$34:I50,A$34:A50,"&gt;="&amp;(A51-$B$10))/$B$10</f>
        <v/>
      </c>
      <c r="H51" s="12">
        <f>MIN(F51+G51,E51)</f>
        <v/>
      </c>
      <c r="I51" s="12">
        <f>IF(C51="Sí",F51+G51-H51,0)</f>
        <v/>
      </c>
      <c r="J51" s="12">
        <f>IF(C51="No",F51+G51-H51,0)</f>
        <v/>
      </c>
      <c r="K51" s="12">
        <f>K50+I51-G51</f>
        <v/>
      </c>
      <c r="L51" s="12">
        <f>D51-H51</f>
        <v/>
      </c>
      <c r="M51" s="12">
        <f>SUMIFS(N$34:N50,A$34:A50,"&gt;="&amp;(A51-$B$12))*(1+$B$11)/$B$12</f>
        <v/>
      </c>
      <c r="N51" s="12">
        <f>MAX(0,F51+M51-E51)</f>
        <v/>
      </c>
      <c r="O51" s="12">
        <f>O50+N51*(1+$B$11)-M51</f>
        <v/>
      </c>
      <c r="P51" s="12">
        <f>D51-MIN(F51+M51,E51)</f>
        <v/>
      </c>
    </row>
    <row r="52">
      <c r="A52" s="11">
        <f>A51+1</f>
        <v/>
      </c>
      <c r="B52" s="5" t="n">
        <v>0</v>
      </c>
      <c r="C52" s="11">
        <f>IF(B52&gt;=$B$9,"Sí","No")</f>
        <v/>
      </c>
      <c r="D52" s="12">
        <f>IF(C52="Sí",$B$21*$B$6,IF(B52&gt;0,$B$21*$B$7,$B$21))</f>
        <v/>
      </c>
      <c r="E52" s="12">
        <f>IF(C52="Sí",MAX(0,D52-$B$8),D52)</f>
        <v/>
      </c>
      <c r="F52" s="12">
        <f>$B$4</f>
        <v/>
      </c>
      <c r="G52" s="12">
        <f>SUMIFS(I$34:I51,A$34:A51,"&gt;="&amp;(A52-$B$10))/$B$10</f>
        <v/>
      </c>
      <c r="H52" s="12">
        <f>MIN(F52+G52,E52)</f>
        <v/>
      </c>
      <c r="I52" s="12">
        <f>IF(C52="Sí",F52+G52-H52,0)</f>
        <v/>
      </c>
      <c r="J52" s="12">
        <f>IF(C52="No",F52+G52-H52,0)</f>
        <v/>
      </c>
      <c r="K52" s="12">
        <f>K51+I52-G52</f>
        <v/>
      </c>
      <c r="L52" s="12">
        <f>D52-H52</f>
        <v/>
      </c>
      <c r="M52" s="12">
        <f>SUMIFS(N$34:N51,A$34:A51,"&gt;="&amp;(A52-$B$12))*(1+$B$11)/$B$12</f>
        <v/>
      </c>
      <c r="N52" s="12">
        <f>MAX(0,F52+M52-E52)</f>
        <v/>
      </c>
      <c r="O52" s="12">
        <f>O51+N52*(1+$B$11)-M52</f>
        <v/>
      </c>
      <c r="P52" s="12">
        <f>D52-MIN(F52+M52,E52)</f>
        <v/>
      </c>
    </row>
    <row r="53">
      <c r="A53" s="11">
        <f>A52+1</f>
        <v/>
      </c>
      <c r="B53" s="5" t="n">
        <v>0</v>
      </c>
      <c r="C53" s="11">
        <f>IF(B53&gt;=$B$9,"Sí","No")</f>
        <v/>
      </c>
      <c r="D53" s="12">
        <f>IF(C53="Sí",$B$21*$B$6,IF(B53&gt;0,$B$21*$B$7,$B$21))</f>
        <v/>
      </c>
      <c r="E53" s="12">
        <f>IF(C53="Sí",MAX(0,D53-$B$8),D53)</f>
        <v/>
      </c>
      <c r="F53" s="12">
        <f>$B$4</f>
        <v/>
      </c>
      <c r="G53" s="12">
        <f>SUMIFS(I$34:I52,A$34:A52,"&gt;="&amp;(A53-$B$10))/$B$10</f>
        <v/>
      </c>
      <c r="H53" s="12">
        <f>MIN(F53+G53,E53)</f>
        <v/>
      </c>
      <c r="I53" s="12">
        <f>IF(C53="Sí",F53+G53-H53,0)</f>
        <v/>
      </c>
      <c r="J53" s="12">
        <f>IF(C53="No",F53+G53-H53,0)</f>
        <v/>
      </c>
      <c r="K53" s="12">
        <f>K52+I53-G53</f>
        <v/>
      </c>
      <c r="L53" s="12">
        <f>D53-H53</f>
        <v/>
      </c>
      <c r="M53" s="12">
        <f>SUMIFS(N$34:N52,A$34:A52,"&gt;="&amp;(A53-$B$12))*(1+$B$11)/$B$12</f>
        <v/>
      </c>
      <c r="N53" s="12">
        <f>MAX(0,F53+M53-E53)</f>
        <v/>
      </c>
      <c r="O53" s="12">
        <f>O52+N53*(1+$B$11)-M53</f>
        <v/>
      </c>
      <c r="P53" s="12">
        <f>D53-MIN(F53+M53,E53)</f>
        <v/>
      </c>
    </row>
    <row r="54">
      <c r="A54" s="11">
        <f>A53+1</f>
        <v/>
      </c>
      <c r="B54" s="5" t="n">
        <v>0</v>
      </c>
      <c r="C54" s="11">
        <f>IF(B54&gt;=$B$9,"Sí","No")</f>
        <v/>
      </c>
      <c r="D54" s="12">
        <f>IF(C54="Sí",$B$21*$B$6,IF(B54&gt;0,$B$21*$B$7,$B$21))</f>
        <v/>
      </c>
      <c r="E54" s="12">
        <f>IF(C54="Sí",MAX(0,D54-$B$8),D54)</f>
        <v/>
      </c>
      <c r="F54" s="12">
        <f>$B$4</f>
        <v/>
      </c>
      <c r="G54" s="12">
        <f>SUMIFS(I$34:I53,A$34:A53,"&gt;="&amp;(A54-$B$10))/$B$10</f>
        <v/>
      </c>
      <c r="H54" s="12">
        <f>MIN(F54+G54,E54)</f>
        <v/>
      </c>
      <c r="I54" s="12">
        <f>IF(C54="Sí",F54+G54-H54,0)</f>
        <v/>
      </c>
      <c r="J54" s="12">
        <f>IF(C54="No",F54+G54-H54,0)</f>
        <v/>
      </c>
      <c r="K54" s="12">
        <f>K53+I54-G54</f>
        <v/>
      </c>
      <c r="L54" s="12">
        <f>D54-H54</f>
        <v/>
      </c>
      <c r="M54" s="12">
        <f>SUMIFS(N$34:N53,A$34:A53,"&gt;="&amp;(A54-$B$12))*(1+$B$11)/$B$12</f>
        <v/>
      </c>
      <c r="N54" s="12">
        <f>MAX(0,F54+M54-E54)</f>
        <v/>
      </c>
      <c r="O54" s="12">
        <f>O53+N54*(1+$B$11)-M54</f>
        <v/>
      </c>
      <c r="P54" s="12">
        <f>D54-MIN(F54+M54,E54)</f>
        <v/>
      </c>
    </row>
    <row r="55">
      <c r="A55" s="11">
        <f>A54+1</f>
        <v/>
      </c>
      <c r="B55" s="5" t="n">
        <v>3.4</v>
      </c>
      <c r="C55" s="11">
        <f>IF(B55&gt;=$B$9,"Sí","No")</f>
        <v/>
      </c>
      <c r="D55" s="12">
        <f>IF(C55="Sí",$B$21*$B$6,IF(B55&gt;0,$B$21*$B$7,$B$21))</f>
        <v/>
      </c>
      <c r="E55" s="12">
        <f>IF(C55="Sí",MAX(0,D55-$B$8),D55)</f>
        <v/>
      </c>
      <c r="F55" s="12">
        <f>$B$4</f>
        <v/>
      </c>
      <c r="G55" s="12">
        <f>SUMIFS(I$34:I54,A$34:A54,"&gt;="&amp;(A55-$B$10))/$B$10</f>
        <v/>
      </c>
      <c r="H55" s="12">
        <f>MIN(F55+G55,E55)</f>
        <v/>
      </c>
      <c r="I55" s="12">
        <f>IF(C55="Sí",F55+G55-H55,0)</f>
        <v/>
      </c>
      <c r="J55" s="12">
        <f>IF(C55="No",F55+G55-H55,0)</f>
        <v/>
      </c>
      <c r="K55" s="12">
        <f>K54+I55-G55</f>
        <v/>
      </c>
      <c r="L55" s="12">
        <f>D55-H55</f>
        <v/>
      </c>
      <c r="M55" s="12">
        <f>SUMIFS(N$34:N54,A$34:A54,"&gt;="&amp;(A55-$B$12))*(1+$B$11)/$B$12</f>
        <v/>
      </c>
      <c r="N55" s="12">
        <f>MAX(0,F55+M55-E55)</f>
        <v/>
      </c>
      <c r="O55" s="12">
        <f>O54+N55*(1+$B$11)-M55</f>
        <v/>
      </c>
      <c r="P55" s="12">
        <f>D55-MIN(F55+M55,E55)</f>
        <v/>
      </c>
    </row>
    <row r="56">
      <c r="A56" s="11">
        <f>A55+1</f>
        <v/>
      </c>
      <c r="B56" s="5" t="n">
        <v>0</v>
      </c>
      <c r="C56" s="11">
        <f>IF(B56&gt;=$B$9,"Sí","No")</f>
        <v/>
      </c>
      <c r="D56" s="12">
        <f>IF(C56="Sí",$B$21*$B$6,IF(B56&gt;0,$B$21*$B$7,$B$21))</f>
        <v/>
      </c>
      <c r="E56" s="12">
        <f>IF(C56="Sí",MAX(0,D56-$B$8),D56)</f>
        <v/>
      </c>
      <c r="F56" s="12">
        <f>$B$4</f>
        <v/>
      </c>
      <c r="G56" s="12">
        <f>SUMIFS(I$34:I55,A$34:A55,"&gt;="&amp;(A56-$B$10))/$B$10</f>
        <v/>
      </c>
      <c r="H56" s="12">
        <f>MIN(F56+G56,E56)</f>
        <v/>
      </c>
      <c r="I56" s="12">
        <f>IF(C56="Sí",F56+G56-H56,0)</f>
        <v/>
      </c>
      <c r="J56" s="12">
        <f>IF(C56="No",F56+G56-H56,0)</f>
        <v/>
      </c>
      <c r="K56" s="12">
        <f>K55+I56-G56</f>
        <v/>
      </c>
      <c r="L56" s="12">
        <f>D56-H56</f>
        <v/>
      </c>
      <c r="M56" s="12">
        <f>SUMIFS(N$34:N55,A$34:A55,"&gt;="&amp;(A56-$B$12))*(1+$B$11)/$B$12</f>
        <v/>
      </c>
      <c r="N56" s="12">
        <f>MAX(0,F56+M56-E56)</f>
        <v/>
      </c>
      <c r="O56" s="12">
        <f>O55+N56*(1+$B$11)-M56</f>
        <v/>
      </c>
      <c r="P56" s="12">
        <f>D56-MIN(F56+M56,E56)</f>
        <v/>
      </c>
    </row>
    <row r="57">
      <c r="A57" s="11">
        <f>A56+1</f>
        <v/>
      </c>
      <c r="B57" s="5" t="n">
        <v>0</v>
      </c>
      <c r="C57" s="11">
        <f>IF(B57&gt;=$B$9,"Sí","No")</f>
        <v/>
      </c>
      <c r="D57" s="12">
        <f>IF(C57="Sí",$B$21*$B$6,IF(B57&gt;0,$B$21*$B$7,$B$21))</f>
        <v/>
      </c>
      <c r="E57" s="12">
        <f>IF(C57="Sí",MAX(0,D57-$B$8),D57)</f>
        <v/>
      </c>
      <c r="F57" s="12">
        <f>$B$4</f>
        <v/>
      </c>
      <c r="G57" s="12">
        <f>SUMIFS(I$34:I56,A$34:A56,"&gt;="&amp;(A57-$B$10))/$B$10</f>
        <v/>
      </c>
      <c r="H57" s="12">
        <f>MIN(F57+G57,E57)</f>
        <v/>
      </c>
      <c r="I57" s="12">
        <f>IF(C57="Sí",F57+G57-H57,0)</f>
        <v/>
      </c>
      <c r="J57" s="12">
        <f>IF(C57="No",F57+G57-H57,0)</f>
        <v/>
      </c>
      <c r="K57" s="12">
        <f>K56+I57-G57</f>
        <v/>
      </c>
      <c r="L57" s="12">
        <f>D57-H57</f>
        <v/>
      </c>
      <c r="M57" s="12">
        <f>SUMIFS(N$34:N56,A$34:A56,"&gt;="&amp;(A57-$B$12))*(1+$B$11)/$B$12</f>
        <v/>
      </c>
      <c r="N57" s="12">
        <f>MAX(0,F57+M57-E57)</f>
        <v/>
      </c>
      <c r="O57" s="12">
        <f>O56+N57*(1+$B$11)-M57</f>
        <v/>
      </c>
      <c r="P57" s="12">
        <f>D57-MIN(F57+M57,E57)</f>
        <v/>
      </c>
    </row>
    <row r="58">
      <c r="A58" s="11">
        <f>A57+1</f>
        <v/>
      </c>
      <c r="B58" s="5" t="n">
        <v>0</v>
      </c>
      <c r="C58" s="11">
        <f>IF(B58&gt;=$B$9,"Sí","No")</f>
        <v/>
      </c>
      <c r="D58" s="12">
        <f>IF(C58="Sí",$B$21*$B$6,IF(B58&gt;0,$B$21*$B$7,$B$21))</f>
        <v/>
      </c>
      <c r="E58" s="12">
        <f>IF(C58="Sí",MAX(0,D58-$B$8),D58)</f>
        <v/>
      </c>
      <c r="F58" s="12">
        <f>$B$4</f>
        <v/>
      </c>
      <c r="G58" s="12">
        <f>SUMIFS(I$34:I57,A$34:A57,"&gt;="&amp;(A58-$B$10))/$B$10</f>
        <v/>
      </c>
      <c r="H58" s="12">
        <f>MIN(F58+G58,E58)</f>
        <v/>
      </c>
      <c r="I58" s="12">
        <f>IF(C58="Sí",F58+G58-H58,0)</f>
        <v/>
      </c>
      <c r="J58" s="12">
        <f>IF(C58="No",F58+G58-H58,0)</f>
        <v/>
      </c>
      <c r="K58" s="12">
        <f>K57+I58-G58</f>
        <v/>
      </c>
      <c r="L58" s="12">
        <f>D58-H58</f>
        <v/>
      </c>
      <c r="M58" s="12">
        <f>SUMIFS(N$34:N57,A$34:A57,"&gt;="&amp;(A58-$B$12))*(1+$B$11)/$B$12</f>
        <v/>
      </c>
      <c r="N58" s="12">
        <f>MAX(0,F58+M58-E58)</f>
        <v/>
      </c>
      <c r="O58" s="12">
        <f>O57+N58*(1+$B$11)-M58</f>
        <v/>
      </c>
      <c r="P58" s="12">
        <f>D58-MIN(F58+M58,E58)</f>
        <v/>
      </c>
    </row>
    <row r="59">
      <c r="A59" s="11">
        <f>A58+1</f>
        <v/>
      </c>
      <c r="B59" s="5" t="n">
        <v>0</v>
      </c>
      <c r="C59" s="11">
        <f>IF(B59&gt;=$B$9,"Sí","No")</f>
        <v/>
      </c>
      <c r="D59" s="12">
        <f>IF(C59="Sí",$B$21*$B$6,IF(B59&gt;0,$B$21*$B$7,$B$21))</f>
        <v/>
      </c>
      <c r="E59" s="12">
        <f>IF(C59="Sí",MAX(0,D59-$B$8),D59)</f>
        <v/>
      </c>
      <c r="F59" s="12">
        <f>$B$4</f>
        <v/>
      </c>
      <c r="G59" s="12">
        <f>SUMIFS(I$34:I58,A$34:A58,"&gt;="&amp;(A59-$B$10))/$B$10</f>
        <v/>
      </c>
      <c r="H59" s="12">
        <f>MIN(F59+G59,E59)</f>
        <v/>
      </c>
      <c r="I59" s="12">
        <f>IF(C59="Sí",F59+G59-H59,0)</f>
        <v/>
      </c>
      <c r="J59" s="12">
        <f>IF(C59="No",F59+G59-H59,0)</f>
        <v/>
      </c>
      <c r="K59" s="12">
        <f>K58+I59-G59</f>
        <v/>
      </c>
      <c r="L59" s="12">
        <f>D59-H59</f>
        <v/>
      </c>
      <c r="M59" s="12">
        <f>SUMIFS(N$34:N58,A$34:A58,"&gt;="&amp;(A59-$B$12))*(1+$B$11)/$B$12</f>
        <v/>
      </c>
      <c r="N59" s="12">
        <f>MAX(0,F59+M59-E59)</f>
        <v/>
      </c>
      <c r="O59" s="12">
        <f>O58+N59*(1+$B$11)-M59</f>
        <v/>
      </c>
      <c r="P59" s="12">
        <f>D59-MIN(F59+M59,E59)</f>
        <v/>
      </c>
    </row>
    <row r="60">
      <c r="A60" s="11">
        <f>A59+1</f>
        <v/>
      </c>
      <c r="B60" s="5" t="n">
        <v>0</v>
      </c>
      <c r="C60" s="11">
        <f>IF(B60&gt;=$B$9,"Sí","No")</f>
        <v/>
      </c>
      <c r="D60" s="12">
        <f>IF(C60="Sí",$B$21*$B$6,IF(B60&gt;0,$B$21*$B$7,$B$21))</f>
        <v/>
      </c>
      <c r="E60" s="12">
        <f>IF(C60="Sí",MAX(0,D60-$B$8),D60)</f>
        <v/>
      </c>
      <c r="F60" s="12">
        <f>$B$4</f>
        <v/>
      </c>
      <c r="G60" s="12">
        <f>SUMIFS(I$34:I59,A$34:A59,"&gt;="&amp;(A60-$B$10))/$B$10</f>
        <v/>
      </c>
      <c r="H60" s="12">
        <f>MIN(F60+G60,E60)</f>
        <v/>
      </c>
      <c r="I60" s="12">
        <f>IF(C60="Sí",F60+G60-H60,0)</f>
        <v/>
      </c>
      <c r="J60" s="12">
        <f>IF(C60="No",F60+G60-H60,0)</f>
        <v/>
      </c>
      <c r="K60" s="12">
        <f>K59+I60-G60</f>
        <v/>
      </c>
      <c r="L60" s="12">
        <f>D60-H60</f>
        <v/>
      </c>
      <c r="M60" s="12">
        <f>SUMIFS(N$34:N59,A$34:A59,"&gt;="&amp;(A60-$B$12))*(1+$B$11)/$B$12</f>
        <v/>
      </c>
      <c r="N60" s="12">
        <f>MAX(0,F60+M60-E60)</f>
        <v/>
      </c>
      <c r="O60" s="12">
        <f>O59+N60*(1+$B$11)-M60</f>
        <v/>
      </c>
      <c r="P60" s="12">
        <f>D60-MIN(F60+M60,E60)</f>
        <v/>
      </c>
    </row>
    <row r="61">
      <c r="A61" s="11">
        <f>A60+1</f>
        <v/>
      </c>
      <c r="B61" s="5" t="n">
        <v>0</v>
      </c>
      <c r="C61" s="11">
        <f>IF(B61&gt;=$B$9,"Sí","No")</f>
        <v/>
      </c>
      <c r="D61" s="12">
        <f>IF(C61="Sí",$B$21*$B$6,IF(B61&gt;0,$B$21*$B$7,$B$21))</f>
        <v/>
      </c>
      <c r="E61" s="12">
        <f>IF(C61="Sí",MAX(0,D61-$B$8),D61)</f>
        <v/>
      </c>
      <c r="F61" s="12">
        <f>$B$4</f>
        <v/>
      </c>
      <c r="G61" s="12">
        <f>SUMIFS(I$34:I60,A$34:A60,"&gt;="&amp;(A61-$B$10))/$B$10</f>
        <v/>
      </c>
      <c r="H61" s="12">
        <f>MIN(F61+G61,E61)</f>
        <v/>
      </c>
      <c r="I61" s="12">
        <f>IF(C61="Sí",F61+G61-H61,0)</f>
        <v/>
      </c>
      <c r="J61" s="12">
        <f>IF(C61="No",F61+G61-H61,0)</f>
        <v/>
      </c>
      <c r="K61" s="12">
        <f>K60+I61-G61</f>
        <v/>
      </c>
      <c r="L61" s="12">
        <f>D61-H61</f>
        <v/>
      </c>
      <c r="M61" s="12">
        <f>SUMIFS(N$34:N60,A$34:A60,"&gt;="&amp;(A61-$B$12))*(1+$B$11)/$B$12</f>
        <v/>
      </c>
      <c r="N61" s="12">
        <f>MAX(0,F61+M61-E61)</f>
        <v/>
      </c>
      <c r="O61" s="12">
        <f>O60+N61*(1+$B$11)-M61</f>
        <v/>
      </c>
      <c r="P61" s="12">
        <f>D61-MIN(F61+M61,E61)</f>
        <v/>
      </c>
    </row>
    <row r="62">
      <c r="A62" s="11">
        <f>A61+1</f>
        <v/>
      </c>
      <c r="B62" s="5" t="n">
        <v>0</v>
      </c>
      <c r="C62" s="11">
        <f>IF(B62&gt;=$B$9,"Sí","No")</f>
        <v/>
      </c>
      <c r="D62" s="12">
        <f>IF(C62="Sí",$B$21*$B$6,IF(B62&gt;0,$B$21*$B$7,$B$21))</f>
        <v/>
      </c>
      <c r="E62" s="12">
        <f>IF(C62="Sí",MAX(0,D62-$B$8),D62)</f>
        <v/>
      </c>
      <c r="F62" s="12">
        <f>$B$4</f>
        <v/>
      </c>
      <c r="G62" s="12">
        <f>SUMIFS(I$34:I61,A$34:A61,"&gt;="&amp;(A62-$B$10))/$B$10</f>
        <v/>
      </c>
      <c r="H62" s="12">
        <f>MIN(F62+G62,E62)</f>
        <v/>
      </c>
      <c r="I62" s="12">
        <f>IF(C62="Sí",F62+G62-H62,0)</f>
        <v/>
      </c>
      <c r="J62" s="12">
        <f>IF(C62="No",F62+G62-H62,0)</f>
        <v/>
      </c>
      <c r="K62" s="12">
        <f>K61+I62-G62</f>
        <v/>
      </c>
      <c r="L62" s="12">
        <f>D62-H62</f>
        <v/>
      </c>
      <c r="M62" s="12">
        <f>SUMIFS(N$34:N61,A$34:A61,"&gt;="&amp;(A62-$B$12))*(1+$B$11)/$B$12</f>
        <v/>
      </c>
      <c r="N62" s="12">
        <f>MAX(0,F62+M62-E62)</f>
        <v/>
      </c>
      <c r="O62" s="12">
        <f>O61+N62*(1+$B$11)-M62</f>
        <v/>
      </c>
      <c r="P62" s="12">
        <f>D62-MIN(F62+M62,E62)</f>
        <v/>
      </c>
    </row>
    <row r="63">
      <c r="A63" s="11">
        <f>A62+1</f>
        <v/>
      </c>
      <c r="B63" s="5" t="n">
        <v>0</v>
      </c>
      <c r="C63" s="11">
        <f>IF(B63&gt;=$B$9,"Sí","No")</f>
        <v/>
      </c>
      <c r="D63" s="12">
        <f>IF(C63="Sí",$B$21*$B$6,IF(B63&gt;0,$B$21*$B$7,$B$21))</f>
        <v/>
      </c>
      <c r="E63" s="12">
        <f>IF(C63="Sí",MAX(0,D63-$B$8),D63)</f>
        <v/>
      </c>
      <c r="F63" s="12">
        <f>$B$4</f>
        <v/>
      </c>
      <c r="G63" s="12">
        <f>SUMIFS(I$34:I62,A$34:A62,"&gt;="&amp;(A63-$B$10))/$B$10</f>
        <v/>
      </c>
      <c r="H63" s="12">
        <f>MIN(F63+G63,E63)</f>
        <v/>
      </c>
      <c r="I63" s="12">
        <f>IF(C63="Sí",F63+G63-H63,0)</f>
        <v/>
      </c>
      <c r="J63" s="12">
        <f>IF(C63="No",F63+G63-H63,0)</f>
        <v/>
      </c>
      <c r="K63" s="12">
        <f>K62+I63-G63</f>
        <v/>
      </c>
      <c r="L63" s="12">
        <f>D63-H63</f>
        <v/>
      </c>
      <c r="M63" s="12">
        <f>SUMIFS(N$34:N62,A$34:A62,"&gt;="&amp;(A63-$B$12))*(1+$B$11)/$B$12</f>
        <v/>
      </c>
      <c r="N63" s="12">
        <f>MAX(0,F63+M63-E63)</f>
        <v/>
      </c>
      <c r="O63" s="12">
        <f>O62+N63*(1+$B$11)-M63</f>
        <v/>
      </c>
      <c r="P63" s="12">
        <f>D63-MIN(F63+M63,E63)</f>
        <v/>
      </c>
    </row>
    <row r="64">
      <c r="A64" s="11">
        <f>A63+1</f>
        <v/>
      </c>
      <c r="B64" s="5" t="n">
        <v>0</v>
      </c>
      <c r="C64" s="11">
        <f>IF(B64&gt;=$B$9,"Sí","No")</f>
        <v/>
      </c>
      <c r="D64" s="12">
        <f>IF(C64="Sí",$B$21*$B$6,IF(B64&gt;0,$B$21*$B$7,$B$21))</f>
        <v/>
      </c>
      <c r="E64" s="12">
        <f>IF(C64="Sí",MAX(0,D64-$B$8),D64)</f>
        <v/>
      </c>
      <c r="F64" s="12">
        <f>$B$4</f>
        <v/>
      </c>
      <c r="G64" s="12">
        <f>SUMIFS(I$34:I63,A$34:A63,"&gt;="&amp;(A64-$B$10))/$B$10</f>
        <v/>
      </c>
      <c r="H64" s="12">
        <f>MIN(F64+G64,E64)</f>
        <v/>
      </c>
      <c r="I64" s="12">
        <f>IF(C64="Sí",F64+G64-H64,0)</f>
        <v/>
      </c>
      <c r="J64" s="12">
        <f>IF(C64="No",F64+G64-H64,0)</f>
        <v/>
      </c>
      <c r="K64" s="12">
        <f>K63+I64-G64</f>
        <v/>
      </c>
      <c r="L64" s="12">
        <f>D64-H64</f>
        <v/>
      </c>
      <c r="M64" s="12">
        <f>SUMIFS(N$34:N63,A$34:A63,"&gt;="&amp;(A64-$B$12))*(1+$B$11)/$B$12</f>
        <v/>
      </c>
      <c r="N64" s="12">
        <f>MAX(0,F64+M64-E64)</f>
        <v/>
      </c>
      <c r="O64" s="12">
        <f>O63+N64*(1+$B$11)-M64</f>
        <v/>
      </c>
      <c r="P64" s="12">
        <f>D64-MIN(F64+M64,E64)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Cláusula de lluvia del fiado: números de la SAS (caso base)</t>
        </is>
      </c>
    </row>
    <row r="2">
      <c r="A2" t="inlineStr">
        <is>
          <t>Celdas amarillas: supuestos, incluidas las columnas de minoristas y vendedores por minorista de la tabla mensual. Lo verde se calcula. Mismos supuestos que models/business_model.py.</t>
        </is>
      </c>
    </row>
    <row r="3">
      <c r="A3" s="2" t="inlineStr">
        <is>
          <t>SUPUESTOS</t>
        </is>
      </c>
      <c r="C3" s="2" t="inlineStr">
        <is>
          <t>Fuente o razón</t>
        </is>
      </c>
    </row>
    <row r="4">
      <c r="A4" t="inlineStr">
        <is>
          <t>Tarifa mensual por vendedor inscrito (la paga quien fía)</t>
        </is>
      </c>
      <c r="B4" s="3" t="n">
        <v>4000</v>
      </c>
      <c r="C4" t="inlineStr">
        <is>
          <t>[S] sin precedente de precio; rango probado $2.000 a $6.000</t>
        </is>
      </c>
    </row>
    <row r="5">
      <c r="A5" t="inlineStr">
        <is>
          <t>Parte de la tarifa que se cobra</t>
        </is>
      </c>
      <c r="B5" s="4" t="n">
        <v>0.9</v>
      </c>
      <c r="C5" t="inlineStr">
        <is>
          <t>[S] 10% nunca se cobra</t>
        </is>
      </c>
    </row>
    <row r="6">
      <c r="A6" t="inlineStr">
        <is>
          <t>Costo directo por vendedor al mes</t>
        </is>
      </c>
      <c r="B6" s="3" t="n">
        <v>800</v>
      </c>
      <c r="C6" t="inlineStr">
        <is>
          <t>[S] mensajes de WhatsApp y tarjeta impresa</t>
        </is>
      </c>
    </row>
    <row r="7">
      <c r="A7" t="inlineStr">
        <is>
          <t>Fijo: mi salario (1 SMMLV 2026)</t>
        </is>
      </c>
      <c r="B7" s="3" t="n">
        <v>1750905</v>
      </c>
      <c r="C7" t="inlineStr">
        <is>
          <t>Salario mínimo de 2026</t>
        </is>
      </c>
    </row>
    <row r="8">
      <c r="A8" t="inlineStr">
        <is>
          <t>Fijo: transporte y campo</t>
        </is>
      </c>
      <c r="B8" s="3" t="n">
        <v>200000</v>
      </c>
      <c r="C8" t="inlineStr">
        <is>
          <t>[S]</t>
        </is>
      </c>
    </row>
    <row r="9">
      <c r="A9" t="inlineStr">
        <is>
          <t>Fijo: celular y datos</t>
        </is>
      </c>
      <c r="B9" s="3" t="n">
        <v>80000</v>
      </c>
      <c r="C9" t="inlineStr">
        <is>
          <t>[S]</t>
        </is>
      </c>
    </row>
    <row r="10">
      <c r="A10" t="inlineStr">
        <is>
          <t>Fijo: WhatsApp Business, servidor, herramientas</t>
        </is>
      </c>
      <c r="B10" s="3" t="n">
        <v>150000</v>
      </c>
      <c r="C10" t="inlineStr">
        <is>
          <t>[S]</t>
        </is>
      </c>
    </row>
    <row r="11">
      <c r="A11" t="inlineStr">
        <is>
          <t>Fijo: contador</t>
        </is>
      </c>
      <c r="B11" s="3" t="n">
        <v>350000</v>
      </c>
      <c r="C11" t="inlineStr">
        <is>
          <t>[S]</t>
        </is>
      </c>
    </row>
    <row r="12">
      <c r="A12" t="inlineStr">
        <is>
          <t>Inicial: registro de la SAS</t>
        </is>
      </c>
      <c r="B12" s="3" t="n">
        <v>600000</v>
      </c>
      <c r="C12" t="inlineStr">
        <is>
          <t>[S] sin cotización</t>
        </is>
      </c>
    </row>
    <row r="13">
      <c r="A13" t="inlineStr">
        <is>
          <t>Inicial: concepto de un abogado</t>
        </is>
      </c>
      <c r="B13" s="3" t="n">
        <v>3000000</v>
      </c>
      <c r="C13" t="inlineStr">
        <is>
          <t>[S] cotización pendiente</t>
        </is>
      </c>
    </row>
    <row r="14">
      <c r="A14" t="inlineStr">
        <is>
          <t>Inicial: tarjetas y material del piloto</t>
        </is>
      </c>
      <c r="B14" s="3" t="n">
        <v>300000</v>
      </c>
      <c r="C14" t="inlineStr">
        <is>
          <t>[S]</t>
        </is>
      </c>
    </row>
    <row r="15">
      <c r="A15" t="inlineStr">
        <is>
          <t>Inicial: capital para prestar</t>
        </is>
      </c>
      <c r="B15" s="3" t="n">
        <v>0</v>
      </c>
      <c r="C15" t="inlineStr">
        <is>
          <t>La SAS no presta</t>
        </is>
      </c>
    </row>
    <row r="16">
      <c r="A16" t="inlineStr">
        <is>
          <t>Vista de quien fía: fiado diario</t>
        </is>
      </c>
      <c r="B16" s="3" t="n">
        <v>62000</v>
      </c>
      <c r="C16" t="inlineStr">
        <is>
          <t>Cota superior (ver hoja 1)</t>
        </is>
      </c>
    </row>
    <row r="17">
      <c r="A17" t="inlineStr">
        <is>
          <t>Vista de quien fía: impago de lo aplazado</t>
        </is>
      </c>
      <c r="B17" s="13" t="n">
        <v>0.03</v>
      </c>
      <c r="C17" t="inlineStr">
        <is>
          <t>[S] sin dato; referencia: mora del microcrédito formal 6,9% (El Tiempo con datos SFC, 2026)</t>
        </is>
      </c>
    </row>
    <row r="18">
      <c r="A18" t="inlineStr">
        <is>
          <t>Vista de quien fía: margen bruto</t>
        </is>
      </c>
      <c r="B18" s="4" t="n">
        <v>0.1</v>
      </c>
      <c r="C18" t="inlineStr">
        <is>
          <t>[S] sin fuente</t>
        </is>
      </c>
    </row>
    <row r="19">
      <c r="A19" t="inlineStr">
        <is>
          <t>Días de disparo al año</t>
        </is>
      </c>
      <c r="B19" s="6" t="n">
        <v>26</v>
      </c>
      <c r="C19" t="inlineStr">
        <is>
          <t>IDEAM 0026055120, cálculo propio</t>
        </is>
      </c>
    </row>
    <row r="20">
      <c r="A20" t="inlineStr">
        <is>
          <t>Días promedio que tarda en volver lo aplazado</t>
        </is>
      </c>
      <c r="B20" s="5" t="n">
        <v>2.5</v>
      </c>
      <c r="C20" t="inlineStr">
        <is>
          <t>[S] tercios más domingos</t>
        </is>
      </c>
    </row>
    <row r="21">
      <c r="A21" t="inlineStr">
        <is>
          <t>Costo del dinero de quien fía (efectivo anual)</t>
        </is>
      </c>
      <c r="B21" s="4" t="n">
        <v>0.2</v>
      </c>
      <c r="C21" t="inlineStr">
        <is>
          <t>[S]</t>
        </is>
      </c>
    </row>
    <row r="22">
      <c r="A22" t="inlineStr">
        <is>
          <t>Días de venta al mes</t>
        </is>
      </c>
      <c r="B22" s="6" t="n">
        <v>26</v>
      </c>
      <c r="C22" t="inlineStr">
        <is>
          <t>Lunes a sábado</t>
        </is>
      </c>
    </row>
    <row r="25">
      <c r="A25" s="2" t="inlineStr">
        <is>
          <t>RESULTADOS</t>
        </is>
      </c>
    </row>
    <row r="26">
      <c r="A26" t="inlineStr">
        <is>
          <t>Inversión inicial</t>
        </is>
      </c>
      <c r="B26" s="7">
        <f>SUM(B12:B15)</f>
        <v/>
      </c>
    </row>
    <row r="27">
      <c r="A27" t="inlineStr">
        <is>
          <t>Costo fijo mensual</t>
        </is>
      </c>
      <c r="B27" s="7">
        <f>SUM(B7:B11)</f>
        <v/>
      </c>
    </row>
    <row r="28">
      <c r="A28" t="inlineStr">
        <is>
          <t>Contribución por vendedor al mes</t>
        </is>
      </c>
      <c r="B28" s="7">
        <f>B4*B5-B6</f>
        <v/>
      </c>
    </row>
    <row r="29">
      <c r="A29" t="inlineStr">
        <is>
          <t>Vendedores que pagan para el equilibrio</t>
        </is>
      </c>
      <c r="B29" s="14">
        <f>B27/B28</f>
        <v/>
      </c>
    </row>
    <row r="30">
      <c r="A30" t="inlineStr">
        <is>
          <t>Mes del equilibrio</t>
        </is>
      </c>
      <c r="B30" s="9">
        <f>IFERROR(INDEX(A46:A81,MATCH(1,L46:L81,0)),"no llega en 36 meses")</f>
        <v/>
      </c>
    </row>
    <row r="31">
      <c r="A31" t="inlineStr">
        <is>
          <t>Caja necesaria (inversión más pérdidas hasta el punto más bajo)</t>
        </is>
      </c>
      <c r="B31" s="7">
        <f>-MIN(MIN(K46:K81),-B26)</f>
        <v/>
      </c>
    </row>
    <row r="32">
      <c r="A32" t="inlineStr">
        <is>
          <t>Equipo de $10 millones al mes: vendedores para el equilibrio</t>
        </is>
      </c>
      <c r="B32" s="14">
        <f>10000000/B28</f>
        <v/>
      </c>
    </row>
    <row r="34">
      <c r="A34" t="inlineStr">
        <is>
          <t>Quien fía: aplazado al año por vendedor</t>
        </is>
      </c>
      <c r="B34" s="7">
        <f>B19*B16</f>
        <v/>
      </c>
    </row>
    <row r="35">
      <c r="A35" t="inlineStr">
        <is>
          <t>Quien fía: costo del plazo al año</t>
        </is>
      </c>
      <c r="B35" s="7">
        <f>B34*((1+B21)^(B20/365)-1)</f>
        <v/>
      </c>
    </row>
    <row r="36">
      <c r="A36" t="inlineStr">
        <is>
          <t>Quien fía: impago de lo aplazado al año</t>
        </is>
      </c>
      <c r="B36" s="7">
        <f>B34*B17</f>
        <v/>
      </c>
    </row>
    <row r="37">
      <c r="A37" t="inlineStr">
        <is>
          <t>Quien fía: tarifa al año</t>
        </is>
      </c>
      <c r="B37" s="7">
        <f>B4*12</f>
        <v/>
      </c>
    </row>
    <row r="38">
      <c r="A38" t="inlineStr">
        <is>
          <t>Quien fía: margen que le deja un vendedor al año</t>
        </is>
      </c>
      <c r="B38" s="7">
        <f>B16*B22*12*B18</f>
        <v/>
      </c>
    </row>
    <row r="39">
      <c r="A39" t="inlineStr">
        <is>
          <t>Se paga sola si le evita perder esta parte de sus vendedores al año</t>
        </is>
      </c>
      <c r="B39" s="15">
        <f>(B35+B36+B37)/B38</f>
        <v/>
      </c>
    </row>
    <row r="40">
      <c r="A40" s="8" t="inlineStr">
        <is>
          <t>Usuarios e ingresos</t>
        </is>
      </c>
      <c r="B40" s="8" t="inlineStr">
        <is>
          <t>Inscritos</t>
        </is>
      </c>
      <c r="C40" s="8" t="inlineStr">
        <is>
          <t>Pagan</t>
        </is>
      </c>
      <c r="D40" s="8" t="inlineStr">
        <is>
          <t>Facturado al mes</t>
        </is>
      </c>
      <c r="E40" s="8" t="inlineStr">
        <is>
          <t>Contribución al mes</t>
        </is>
      </c>
    </row>
    <row r="41">
      <c r="A41" t="inlineStr">
        <is>
          <t>Mes 3</t>
        </is>
      </c>
      <c r="B41" s="14">
        <f>D48</f>
        <v/>
      </c>
      <c r="C41" s="14">
        <f>E48</f>
        <v/>
      </c>
      <c r="D41" s="7">
        <f>F48</f>
        <v/>
      </c>
      <c r="E41" s="7">
        <f>H48</f>
        <v/>
      </c>
    </row>
    <row r="42">
      <c r="A42" t="inlineStr">
        <is>
          <t>Mes 6</t>
        </is>
      </c>
      <c r="B42" s="14">
        <f>D51</f>
        <v/>
      </c>
      <c r="C42" s="14">
        <f>E51</f>
        <v/>
      </c>
      <c r="D42" s="7">
        <f>F51</f>
        <v/>
      </c>
      <c r="E42" s="7">
        <f>H51</f>
        <v/>
      </c>
    </row>
    <row r="43">
      <c r="A43" t="inlineStr">
        <is>
          <t>Mes 12</t>
        </is>
      </c>
      <c r="B43" s="14">
        <f>D57</f>
        <v/>
      </c>
      <c r="C43" s="14">
        <f>E57</f>
        <v/>
      </c>
      <c r="D43" s="7">
        <f>F57</f>
        <v/>
      </c>
      <c r="E43" s="7">
        <f>H57</f>
        <v/>
      </c>
    </row>
    <row r="45" ht="45" customHeight="1">
      <c r="A45" s="8" t="inlineStr">
        <is>
          <t>Mes</t>
        </is>
      </c>
      <c r="B45" s="8" t="inlineStr">
        <is>
          <t>Minoristas</t>
        </is>
      </c>
      <c r="C45" s="8" t="inlineStr">
        <is>
          <t>Vendedores por minorista</t>
        </is>
      </c>
      <c r="D45" s="8" t="inlineStr">
        <is>
          <t>Vendedores inscritos</t>
        </is>
      </c>
      <c r="E45" s="8" t="inlineStr">
        <is>
          <t>Vendedores que pagan</t>
        </is>
      </c>
      <c r="F45" s="8" t="inlineStr">
        <is>
          <t>Facturado</t>
        </is>
      </c>
      <c r="G45" s="8" t="inlineStr">
        <is>
          <t>Cobrado</t>
        </is>
      </c>
      <c r="H45" s="8" t="inlineStr">
        <is>
          <t>Contribución</t>
        </is>
      </c>
      <c r="I45" s="8" t="inlineStr">
        <is>
          <t>Costo fijo</t>
        </is>
      </c>
      <c r="J45" s="8" t="inlineStr">
        <is>
          <t>Resultado del mes</t>
        </is>
      </c>
      <c r="K45" s="8" t="inlineStr">
        <is>
          <t>Acumulado (con inversión)</t>
        </is>
      </c>
      <c r="L45" s="8" t="inlineStr">
        <is>
          <t>¿Cubre el costo fijo?</t>
        </is>
      </c>
    </row>
    <row r="46">
      <c r="A46" s="11" t="n">
        <v>1</v>
      </c>
      <c r="B46" s="16" t="n">
        <v>2</v>
      </c>
      <c r="C46" s="16" t="n">
        <v>8</v>
      </c>
      <c r="D46" s="11">
        <f>B46*C46</f>
        <v/>
      </c>
      <c r="E46" s="11">
        <f>0</f>
        <v/>
      </c>
      <c r="F46" s="12">
        <f>E46*$B$4</f>
        <v/>
      </c>
      <c r="G46" s="12">
        <f>F46*$B$5</f>
        <v/>
      </c>
      <c r="H46" s="12">
        <f>E46*$B$28</f>
        <v/>
      </c>
      <c r="I46" s="12">
        <f>$B$27</f>
        <v/>
      </c>
      <c r="J46" s="12">
        <f>H46-I46</f>
        <v/>
      </c>
      <c r="K46" s="12">
        <f>-$B$26+J46</f>
        <v/>
      </c>
      <c r="L46" s="11">
        <f>IF(J46&gt;=0,1,0)</f>
        <v/>
      </c>
    </row>
    <row r="47">
      <c r="A47" s="11" t="n">
        <v>2</v>
      </c>
      <c r="B47" s="16" t="n">
        <v>3</v>
      </c>
      <c r="C47" s="16" t="n">
        <v>9</v>
      </c>
      <c r="D47" s="11">
        <f>B47*C47</f>
        <v/>
      </c>
      <c r="E47" s="11">
        <f>MIN(D46,D47)</f>
        <v/>
      </c>
      <c r="F47" s="12">
        <f>E47*$B$4</f>
        <v/>
      </c>
      <c r="G47" s="12">
        <f>F47*$B$5</f>
        <v/>
      </c>
      <c r="H47" s="12">
        <f>E47*$B$28</f>
        <v/>
      </c>
      <c r="I47" s="12">
        <f>$B$27</f>
        <v/>
      </c>
      <c r="J47" s="12">
        <f>H47-I47</f>
        <v/>
      </c>
      <c r="K47" s="12">
        <f>K46+J47</f>
        <v/>
      </c>
      <c r="L47" s="11">
        <f>IF(J47&gt;=0,1,0)</f>
        <v/>
      </c>
    </row>
    <row r="48">
      <c r="A48" s="11" t="n">
        <v>3</v>
      </c>
      <c r="B48" s="16" t="n">
        <v>4</v>
      </c>
      <c r="C48" s="16" t="n">
        <v>10</v>
      </c>
      <c r="D48" s="11">
        <f>B48*C48</f>
        <v/>
      </c>
      <c r="E48" s="11">
        <f>MIN(D47,D48)</f>
        <v/>
      </c>
      <c r="F48" s="12">
        <f>E48*$B$4</f>
        <v/>
      </c>
      <c r="G48" s="12">
        <f>F48*$B$5</f>
        <v/>
      </c>
      <c r="H48" s="12">
        <f>E48*$B$28</f>
        <v/>
      </c>
      <c r="I48" s="12">
        <f>$B$27</f>
        <v/>
      </c>
      <c r="J48" s="12">
        <f>H48-I48</f>
        <v/>
      </c>
      <c r="K48" s="12">
        <f>K47+J48</f>
        <v/>
      </c>
      <c r="L48" s="11">
        <f>IF(J48&gt;=0,1,0)</f>
        <v/>
      </c>
    </row>
    <row r="49">
      <c r="A49" s="11" t="n">
        <v>4</v>
      </c>
      <c r="B49" s="16" t="n">
        <v>6</v>
      </c>
      <c r="C49" s="16" t="n">
        <v>11</v>
      </c>
      <c r="D49" s="11">
        <f>B49*C49</f>
        <v/>
      </c>
      <c r="E49" s="11">
        <f>MIN(D48,D49)</f>
        <v/>
      </c>
      <c r="F49" s="12">
        <f>E49*$B$4</f>
        <v/>
      </c>
      <c r="G49" s="12">
        <f>F49*$B$5</f>
        <v/>
      </c>
      <c r="H49" s="12">
        <f>E49*$B$28</f>
        <v/>
      </c>
      <c r="I49" s="12">
        <f>$B$27</f>
        <v/>
      </c>
      <c r="J49" s="12">
        <f>H49-I49</f>
        <v/>
      </c>
      <c r="K49" s="12">
        <f>K48+J49</f>
        <v/>
      </c>
      <c r="L49" s="11">
        <f>IF(J49&gt;=0,1,0)</f>
        <v/>
      </c>
    </row>
    <row r="50">
      <c r="A50" s="11" t="n">
        <v>5</v>
      </c>
      <c r="B50" s="16" t="n">
        <v>9</v>
      </c>
      <c r="C50" s="16" t="n">
        <v>12</v>
      </c>
      <c r="D50" s="11">
        <f>B50*C50</f>
        <v/>
      </c>
      <c r="E50" s="11">
        <f>MIN(D49,D50)</f>
        <v/>
      </c>
      <c r="F50" s="12">
        <f>E50*$B$4</f>
        <v/>
      </c>
      <c r="G50" s="12">
        <f>F50*$B$5</f>
        <v/>
      </c>
      <c r="H50" s="12">
        <f>E50*$B$28</f>
        <v/>
      </c>
      <c r="I50" s="12">
        <f>$B$27</f>
        <v/>
      </c>
      <c r="J50" s="12">
        <f>H50-I50</f>
        <v/>
      </c>
      <c r="K50" s="12">
        <f>K49+J50</f>
        <v/>
      </c>
      <c r="L50" s="11">
        <f>IF(J50&gt;=0,1,0)</f>
        <v/>
      </c>
    </row>
    <row r="51">
      <c r="A51" s="11" t="n">
        <v>6</v>
      </c>
      <c r="B51" s="16" t="n">
        <v>12</v>
      </c>
      <c r="C51" s="16" t="n">
        <v>12</v>
      </c>
      <c r="D51" s="11">
        <f>B51*C51</f>
        <v/>
      </c>
      <c r="E51" s="11">
        <f>MIN(D50,D51)</f>
        <v/>
      </c>
      <c r="F51" s="12">
        <f>E51*$B$4</f>
        <v/>
      </c>
      <c r="G51" s="12">
        <f>F51*$B$5</f>
        <v/>
      </c>
      <c r="H51" s="12">
        <f>E51*$B$28</f>
        <v/>
      </c>
      <c r="I51" s="12">
        <f>$B$27</f>
        <v/>
      </c>
      <c r="J51" s="12">
        <f>H51-I51</f>
        <v/>
      </c>
      <c r="K51" s="12">
        <f>K50+J51</f>
        <v/>
      </c>
      <c r="L51" s="11">
        <f>IF(J51&gt;=0,1,0)</f>
        <v/>
      </c>
    </row>
    <row r="52">
      <c r="A52" s="11" t="n">
        <v>7</v>
      </c>
      <c r="B52" s="16" t="n">
        <v>16</v>
      </c>
      <c r="C52" s="16" t="n">
        <v>13</v>
      </c>
      <c r="D52" s="11">
        <f>B52*C52</f>
        <v/>
      </c>
      <c r="E52" s="11">
        <f>MIN(D51,D52)</f>
        <v/>
      </c>
      <c r="F52" s="12">
        <f>E52*$B$4</f>
        <v/>
      </c>
      <c r="G52" s="12">
        <f>F52*$B$5</f>
        <v/>
      </c>
      <c r="H52" s="12">
        <f>E52*$B$28</f>
        <v/>
      </c>
      <c r="I52" s="12">
        <f>$B$27</f>
        <v/>
      </c>
      <c r="J52" s="12">
        <f>H52-I52</f>
        <v/>
      </c>
      <c r="K52" s="12">
        <f>K51+J52</f>
        <v/>
      </c>
      <c r="L52" s="11">
        <f>IF(J52&gt;=0,1,0)</f>
        <v/>
      </c>
    </row>
    <row r="53">
      <c r="A53" s="11" t="n">
        <v>8</v>
      </c>
      <c r="B53" s="16" t="n">
        <v>20</v>
      </c>
      <c r="C53" s="16" t="n">
        <v>13</v>
      </c>
      <c r="D53" s="11">
        <f>B53*C53</f>
        <v/>
      </c>
      <c r="E53" s="11">
        <f>MIN(D52,D53)</f>
        <v/>
      </c>
      <c r="F53" s="12">
        <f>E53*$B$4</f>
        <v/>
      </c>
      <c r="G53" s="12">
        <f>F53*$B$5</f>
        <v/>
      </c>
      <c r="H53" s="12">
        <f>E53*$B$28</f>
        <v/>
      </c>
      <c r="I53" s="12">
        <f>$B$27</f>
        <v/>
      </c>
      <c r="J53" s="12">
        <f>H53-I53</f>
        <v/>
      </c>
      <c r="K53" s="12">
        <f>K52+J53</f>
        <v/>
      </c>
      <c r="L53" s="11">
        <f>IF(J53&gt;=0,1,0)</f>
        <v/>
      </c>
    </row>
    <row r="54">
      <c r="A54" s="11" t="n">
        <v>9</v>
      </c>
      <c r="B54" s="16" t="n">
        <v>24</v>
      </c>
      <c r="C54" s="16" t="n">
        <v>13</v>
      </c>
      <c r="D54" s="11">
        <f>B54*C54</f>
        <v/>
      </c>
      <c r="E54" s="11">
        <f>MIN(D53,D54)</f>
        <v/>
      </c>
      <c r="F54" s="12">
        <f>E54*$B$4</f>
        <v/>
      </c>
      <c r="G54" s="12">
        <f>F54*$B$5</f>
        <v/>
      </c>
      <c r="H54" s="12">
        <f>E54*$B$28</f>
        <v/>
      </c>
      <c r="I54" s="12">
        <f>$B$27</f>
        <v/>
      </c>
      <c r="J54" s="12">
        <f>H54-I54</f>
        <v/>
      </c>
      <c r="K54" s="12">
        <f>K53+J54</f>
        <v/>
      </c>
      <c r="L54" s="11">
        <f>IF(J54&gt;=0,1,0)</f>
        <v/>
      </c>
    </row>
    <row r="55">
      <c r="A55" s="11" t="n">
        <v>10</v>
      </c>
      <c r="B55" s="16" t="n">
        <v>28</v>
      </c>
      <c r="C55" s="16" t="n">
        <v>13</v>
      </c>
      <c r="D55" s="11">
        <f>B55*C55</f>
        <v/>
      </c>
      <c r="E55" s="11">
        <f>MIN(D54,D55)</f>
        <v/>
      </c>
      <c r="F55" s="12">
        <f>E55*$B$4</f>
        <v/>
      </c>
      <c r="G55" s="12">
        <f>F55*$B$5</f>
        <v/>
      </c>
      <c r="H55" s="12">
        <f>E55*$B$28</f>
        <v/>
      </c>
      <c r="I55" s="12">
        <f>$B$27</f>
        <v/>
      </c>
      <c r="J55" s="12">
        <f>H55-I55</f>
        <v/>
      </c>
      <c r="K55" s="12">
        <f>K54+J55</f>
        <v/>
      </c>
      <c r="L55" s="11">
        <f>IF(J55&gt;=0,1,0)</f>
        <v/>
      </c>
    </row>
    <row r="56">
      <c r="A56" s="11" t="n">
        <v>11</v>
      </c>
      <c r="B56" s="16" t="n">
        <v>32</v>
      </c>
      <c r="C56" s="16" t="n">
        <v>13</v>
      </c>
      <c r="D56" s="11">
        <f>B56*C56</f>
        <v/>
      </c>
      <c r="E56" s="11">
        <f>MIN(D55,D56)</f>
        <v/>
      </c>
      <c r="F56" s="12">
        <f>E56*$B$4</f>
        <v/>
      </c>
      <c r="G56" s="12">
        <f>F56*$B$5</f>
        <v/>
      </c>
      <c r="H56" s="12">
        <f>E56*$B$28</f>
        <v/>
      </c>
      <c r="I56" s="12">
        <f>$B$27</f>
        <v/>
      </c>
      <c r="J56" s="12">
        <f>H56-I56</f>
        <v/>
      </c>
      <c r="K56" s="12">
        <f>K55+J56</f>
        <v/>
      </c>
      <c r="L56" s="11">
        <f>IF(J56&gt;=0,1,0)</f>
        <v/>
      </c>
    </row>
    <row r="57">
      <c r="A57" s="11" t="n">
        <v>12</v>
      </c>
      <c r="B57" s="16" t="n">
        <v>36</v>
      </c>
      <c r="C57" s="16" t="n">
        <v>13</v>
      </c>
      <c r="D57" s="11">
        <f>B57*C57</f>
        <v/>
      </c>
      <c r="E57" s="11">
        <f>MIN(D56,D57)</f>
        <v/>
      </c>
      <c r="F57" s="12">
        <f>E57*$B$4</f>
        <v/>
      </c>
      <c r="G57" s="12">
        <f>F57*$B$5</f>
        <v/>
      </c>
      <c r="H57" s="12">
        <f>E57*$B$28</f>
        <v/>
      </c>
      <c r="I57" s="12">
        <f>$B$27</f>
        <v/>
      </c>
      <c r="J57" s="12">
        <f>H57-I57</f>
        <v/>
      </c>
      <c r="K57" s="12">
        <f>K56+J57</f>
        <v/>
      </c>
      <c r="L57" s="11">
        <f>IF(J57&gt;=0,1,0)</f>
        <v/>
      </c>
    </row>
    <row r="58">
      <c r="A58" s="11" t="n">
        <v>13</v>
      </c>
      <c r="B58" s="16" t="n">
        <v>40</v>
      </c>
      <c r="C58" s="16" t="n">
        <v>13</v>
      </c>
      <c r="D58" s="11">
        <f>B58*C58</f>
        <v/>
      </c>
      <c r="E58" s="11">
        <f>MIN(D57,D58)</f>
        <v/>
      </c>
      <c r="F58" s="12">
        <f>E58*$B$4</f>
        <v/>
      </c>
      <c r="G58" s="12">
        <f>F58*$B$5</f>
        <v/>
      </c>
      <c r="H58" s="12">
        <f>E58*$B$28</f>
        <v/>
      </c>
      <c r="I58" s="12">
        <f>$B$27</f>
        <v/>
      </c>
      <c r="J58" s="12">
        <f>H58-I58</f>
        <v/>
      </c>
      <c r="K58" s="12">
        <f>K57+J58</f>
        <v/>
      </c>
      <c r="L58" s="11">
        <f>IF(J58&gt;=0,1,0)</f>
        <v/>
      </c>
    </row>
    <row r="59">
      <c r="A59" s="11" t="n">
        <v>14</v>
      </c>
      <c r="B59" s="16" t="n">
        <v>44</v>
      </c>
      <c r="C59" s="16" t="n">
        <v>13</v>
      </c>
      <c r="D59" s="11">
        <f>B59*C59</f>
        <v/>
      </c>
      <c r="E59" s="11">
        <f>MIN(D58,D59)</f>
        <v/>
      </c>
      <c r="F59" s="12">
        <f>E59*$B$4</f>
        <v/>
      </c>
      <c r="G59" s="12">
        <f>F59*$B$5</f>
        <v/>
      </c>
      <c r="H59" s="12">
        <f>E59*$B$28</f>
        <v/>
      </c>
      <c r="I59" s="12">
        <f>$B$27</f>
        <v/>
      </c>
      <c r="J59" s="12">
        <f>H59-I59</f>
        <v/>
      </c>
      <c r="K59" s="12">
        <f>K58+J59</f>
        <v/>
      </c>
      <c r="L59" s="11">
        <f>IF(J59&gt;=0,1,0)</f>
        <v/>
      </c>
    </row>
    <row r="60">
      <c r="A60" s="11" t="n">
        <v>15</v>
      </c>
      <c r="B60" s="16" t="n">
        <v>48</v>
      </c>
      <c r="C60" s="16" t="n">
        <v>13</v>
      </c>
      <c r="D60" s="11">
        <f>B60*C60</f>
        <v/>
      </c>
      <c r="E60" s="11">
        <f>MIN(D59,D60)</f>
        <v/>
      </c>
      <c r="F60" s="12">
        <f>E60*$B$4</f>
        <v/>
      </c>
      <c r="G60" s="12">
        <f>F60*$B$5</f>
        <v/>
      </c>
      <c r="H60" s="12">
        <f>E60*$B$28</f>
        <v/>
      </c>
      <c r="I60" s="12">
        <f>$B$27</f>
        <v/>
      </c>
      <c r="J60" s="12">
        <f>H60-I60</f>
        <v/>
      </c>
      <c r="K60" s="12">
        <f>K59+J60</f>
        <v/>
      </c>
      <c r="L60" s="11">
        <f>IF(J60&gt;=0,1,0)</f>
        <v/>
      </c>
    </row>
    <row r="61">
      <c r="A61" s="11" t="n">
        <v>16</v>
      </c>
      <c r="B61" s="16" t="n">
        <v>52</v>
      </c>
      <c r="C61" s="16" t="n">
        <v>13</v>
      </c>
      <c r="D61" s="11">
        <f>B61*C61</f>
        <v/>
      </c>
      <c r="E61" s="11">
        <f>MIN(D60,D61)</f>
        <v/>
      </c>
      <c r="F61" s="12">
        <f>E61*$B$4</f>
        <v/>
      </c>
      <c r="G61" s="12">
        <f>F61*$B$5</f>
        <v/>
      </c>
      <c r="H61" s="12">
        <f>E61*$B$28</f>
        <v/>
      </c>
      <c r="I61" s="12">
        <f>$B$27</f>
        <v/>
      </c>
      <c r="J61" s="12">
        <f>H61-I61</f>
        <v/>
      </c>
      <c r="K61" s="12">
        <f>K60+J61</f>
        <v/>
      </c>
      <c r="L61" s="11">
        <f>IF(J61&gt;=0,1,0)</f>
        <v/>
      </c>
    </row>
    <row r="62">
      <c r="A62" s="11" t="n">
        <v>17</v>
      </c>
      <c r="B62" s="16" t="n">
        <v>56</v>
      </c>
      <c r="C62" s="16" t="n">
        <v>13</v>
      </c>
      <c r="D62" s="11">
        <f>B62*C62</f>
        <v/>
      </c>
      <c r="E62" s="11">
        <f>MIN(D61,D62)</f>
        <v/>
      </c>
      <c r="F62" s="12">
        <f>E62*$B$4</f>
        <v/>
      </c>
      <c r="G62" s="12">
        <f>F62*$B$5</f>
        <v/>
      </c>
      <c r="H62" s="12">
        <f>E62*$B$28</f>
        <v/>
      </c>
      <c r="I62" s="12">
        <f>$B$27</f>
        <v/>
      </c>
      <c r="J62" s="12">
        <f>H62-I62</f>
        <v/>
      </c>
      <c r="K62" s="12">
        <f>K61+J62</f>
        <v/>
      </c>
      <c r="L62" s="11">
        <f>IF(J62&gt;=0,1,0)</f>
        <v/>
      </c>
    </row>
    <row r="63">
      <c r="A63" s="11" t="n">
        <v>18</v>
      </c>
      <c r="B63" s="16" t="n">
        <v>60</v>
      </c>
      <c r="C63" s="16" t="n">
        <v>13</v>
      </c>
      <c r="D63" s="11">
        <f>B63*C63</f>
        <v/>
      </c>
      <c r="E63" s="11">
        <f>MIN(D62,D63)</f>
        <v/>
      </c>
      <c r="F63" s="12">
        <f>E63*$B$4</f>
        <v/>
      </c>
      <c r="G63" s="12">
        <f>F63*$B$5</f>
        <v/>
      </c>
      <c r="H63" s="12">
        <f>E63*$B$28</f>
        <v/>
      </c>
      <c r="I63" s="12">
        <f>$B$27</f>
        <v/>
      </c>
      <c r="J63" s="12">
        <f>H63-I63</f>
        <v/>
      </c>
      <c r="K63" s="12">
        <f>K62+J63</f>
        <v/>
      </c>
      <c r="L63" s="11">
        <f>IF(J63&gt;=0,1,0)</f>
        <v/>
      </c>
    </row>
    <row r="64">
      <c r="A64" s="11" t="n">
        <v>19</v>
      </c>
      <c r="B64" s="16" t="n">
        <v>64</v>
      </c>
      <c r="C64" s="16" t="n">
        <v>13</v>
      </c>
      <c r="D64" s="11">
        <f>B64*C64</f>
        <v/>
      </c>
      <c r="E64" s="11">
        <f>MIN(D63,D64)</f>
        <v/>
      </c>
      <c r="F64" s="12">
        <f>E64*$B$4</f>
        <v/>
      </c>
      <c r="G64" s="12">
        <f>F64*$B$5</f>
        <v/>
      </c>
      <c r="H64" s="12">
        <f>E64*$B$28</f>
        <v/>
      </c>
      <c r="I64" s="12">
        <f>$B$27</f>
        <v/>
      </c>
      <c r="J64" s="12">
        <f>H64-I64</f>
        <v/>
      </c>
      <c r="K64" s="12">
        <f>K63+J64</f>
        <v/>
      </c>
      <c r="L64" s="11">
        <f>IF(J64&gt;=0,1,0)</f>
        <v/>
      </c>
    </row>
    <row r="65">
      <c r="A65" s="11" t="n">
        <v>20</v>
      </c>
      <c r="B65" s="16" t="n">
        <v>68</v>
      </c>
      <c r="C65" s="16" t="n">
        <v>13</v>
      </c>
      <c r="D65" s="11">
        <f>B65*C65</f>
        <v/>
      </c>
      <c r="E65" s="11">
        <f>MIN(D64,D65)</f>
        <v/>
      </c>
      <c r="F65" s="12">
        <f>E65*$B$4</f>
        <v/>
      </c>
      <c r="G65" s="12">
        <f>F65*$B$5</f>
        <v/>
      </c>
      <c r="H65" s="12">
        <f>E65*$B$28</f>
        <v/>
      </c>
      <c r="I65" s="12">
        <f>$B$27</f>
        <v/>
      </c>
      <c r="J65" s="12">
        <f>H65-I65</f>
        <v/>
      </c>
      <c r="K65" s="12">
        <f>K64+J65</f>
        <v/>
      </c>
      <c r="L65" s="11">
        <f>IF(J65&gt;=0,1,0)</f>
        <v/>
      </c>
    </row>
    <row r="66">
      <c r="A66" s="11" t="n">
        <v>21</v>
      </c>
      <c r="B66" s="16" t="n">
        <v>72</v>
      </c>
      <c r="C66" s="16" t="n">
        <v>13</v>
      </c>
      <c r="D66" s="11">
        <f>B66*C66</f>
        <v/>
      </c>
      <c r="E66" s="11">
        <f>MIN(D65,D66)</f>
        <v/>
      </c>
      <c r="F66" s="12">
        <f>E66*$B$4</f>
        <v/>
      </c>
      <c r="G66" s="12">
        <f>F66*$B$5</f>
        <v/>
      </c>
      <c r="H66" s="12">
        <f>E66*$B$28</f>
        <v/>
      </c>
      <c r="I66" s="12">
        <f>$B$27</f>
        <v/>
      </c>
      <c r="J66" s="12">
        <f>H66-I66</f>
        <v/>
      </c>
      <c r="K66" s="12">
        <f>K65+J66</f>
        <v/>
      </c>
      <c r="L66" s="11">
        <f>IF(J66&gt;=0,1,0)</f>
        <v/>
      </c>
    </row>
    <row r="67">
      <c r="A67" s="11" t="n">
        <v>22</v>
      </c>
      <c r="B67" s="16" t="n">
        <v>76</v>
      </c>
      <c r="C67" s="16" t="n">
        <v>13</v>
      </c>
      <c r="D67" s="11">
        <f>B67*C67</f>
        <v/>
      </c>
      <c r="E67" s="11">
        <f>MIN(D66,D67)</f>
        <v/>
      </c>
      <c r="F67" s="12">
        <f>E67*$B$4</f>
        <v/>
      </c>
      <c r="G67" s="12">
        <f>F67*$B$5</f>
        <v/>
      </c>
      <c r="H67" s="12">
        <f>E67*$B$28</f>
        <v/>
      </c>
      <c r="I67" s="12">
        <f>$B$27</f>
        <v/>
      </c>
      <c r="J67" s="12">
        <f>H67-I67</f>
        <v/>
      </c>
      <c r="K67" s="12">
        <f>K66+J67</f>
        <v/>
      </c>
      <c r="L67" s="11">
        <f>IF(J67&gt;=0,1,0)</f>
        <v/>
      </c>
    </row>
    <row r="68">
      <c r="A68" s="11" t="n">
        <v>23</v>
      </c>
      <c r="B68" s="16" t="n">
        <v>80</v>
      </c>
      <c r="C68" s="16" t="n">
        <v>13</v>
      </c>
      <c r="D68" s="11">
        <f>B68*C68</f>
        <v/>
      </c>
      <c r="E68" s="11">
        <f>MIN(D67,D68)</f>
        <v/>
      </c>
      <c r="F68" s="12">
        <f>E68*$B$4</f>
        <v/>
      </c>
      <c r="G68" s="12">
        <f>F68*$B$5</f>
        <v/>
      </c>
      <c r="H68" s="12">
        <f>E68*$B$28</f>
        <v/>
      </c>
      <c r="I68" s="12">
        <f>$B$27</f>
        <v/>
      </c>
      <c r="J68" s="12">
        <f>H68-I68</f>
        <v/>
      </c>
      <c r="K68" s="12">
        <f>K67+J68</f>
        <v/>
      </c>
      <c r="L68" s="11">
        <f>IF(J68&gt;=0,1,0)</f>
        <v/>
      </c>
    </row>
    <row r="69">
      <c r="A69" s="11" t="n">
        <v>24</v>
      </c>
      <c r="B69" s="16" t="n">
        <v>84</v>
      </c>
      <c r="C69" s="16" t="n">
        <v>13</v>
      </c>
      <c r="D69" s="11">
        <f>B69*C69</f>
        <v/>
      </c>
      <c r="E69" s="11">
        <f>MIN(D68,D69)</f>
        <v/>
      </c>
      <c r="F69" s="12">
        <f>E69*$B$4</f>
        <v/>
      </c>
      <c r="G69" s="12">
        <f>F69*$B$5</f>
        <v/>
      </c>
      <c r="H69" s="12">
        <f>E69*$B$28</f>
        <v/>
      </c>
      <c r="I69" s="12">
        <f>$B$27</f>
        <v/>
      </c>
      <c r="J69" s="12">
        <f>H69-I69</f>
        <v/>
      </c>
      <c r="K69" s="12">
        <f>K68+J69</f>
        <v/>
      </c>
      <c r="L69" s="11">
        <f>IF(J69&gt;=0,1,0)</f>
        <v/>
      </c>
    </row>
    <row r="70">
      <c r="A70" s="11" t="n">
        <v>25</v>
      </c>
      <c r="B70" s="16" t="n">
        <v>88</v>
      </c>
      <c r="C70" s="16" t="n">
        <v>13</v>
      </c>
      <c r="D70" s="11">
        <f>B70*C70</f>
        <v/>
      </c>
      <c r="E70" s="11">
        <f>MIN(D69,D70)</f>
        <v/>
      </c>
      <c r="F70" s="12">
        <f>E70*$B$4</f>
        <v/>
      </c>
      <c r="G70" s="12">
        <f>F70*$B$5</f>
        <v/>
      </c>
      <c r="H70" s="12">
        <f>E70*$B$28</f>
        <v/>
      </c>
      <c r="I70" s="12">
        <f>$B$27</f>
        <v/>
      </c>
      <c r="J70" s="12">
        <f>H70-I70</f>
        <v/>
      </c>
      <c r="K70" s="12">
        <f>K69+J70</f>
        <v/>
      </c>
      <c r="L70" s="11">
        <f>IF(J70&gt;=0,1,0)</f>
        <v/>
      </c>
    </row>
    <row r="71">
      <c r="A71" s="11" t="n">
        <v>26</v>
      </c>
      <c r="B71" s="16" t="n">
        <v>92</v>
      </c>
      <c r="C71" s="16" t="n">
        <v>13</v>
      </c>
      <c r="D71" s="11">
        <f>B71*C71</f>
        <v/>
      </c>
      <c r="E71" s="11">
        <f>MIN(D70,D71)</f>
        <v/>
      </c>
      <c r="F71" s="12">
        <f>E71*$B$4</f>
        <v/>
      </c>
      <c r="G71" s="12">
        <f>F71*$B$5</f>
        <v/>
      </c>
      <c r="H71" s="12">
        <f>E71*$B$28</f>
        <v/>
      </c>
      <c r="I71" s="12">
        <f>$B$27</f>
        <v/>
      </c>
      <c r="J71" s="12">
        <f>H71-I71</f>
        <v/>
      </c>
      <c r="K71" s="12">
        <f>K70+J71</f>
        <v/>
      </c>
      <c r="L71" s="11">
        <f>IF(J71&gt;=0,1,0)</f>
        <v/>
      </c>
    </row>
    <row r="72">
      <c r="A72" s="11" t="n">
        <v>27</v>
      </c>
      <c r="B72" s="16" t="n">
        <v>96</v>
      </c>
      <c r="C72" s="16" t="n">
        <v>13</v>
      </c>
      <c r="D72" s="11">
        <f>B72*C72</f>
        <v/>
      </c>
      <c r="E72" s="11">
        <f>MIN(D71,D72)</f>
        <v/>
      </c>
      <c r="F72" s="12">
        <f>E72*$B$4</f>
        <v/>
      </c>
      <c r="G72" s="12">
        <f>F72*$B$5</f>
        <v/>
      </c>
      <c r="H72" s="12">
        <f>E72*$B$28</f>
        <v/>
      </c>
      <c r="I72" s="12">
        <f>$B$27</f>
        <v/>
      </c>
      <c r="J72" s="12">
        <f>H72-I72</f>
        <v/>
      </c>
      <c r="K72" s="12">
        <f>K71+J72</f>
        <v/>
      </c>
      <c r="L72" s="11">
        <f>IF(J72&gt;=0,1,0)</f>
        <v/>
      </c>
    </row>
    <row r="73">
      <c r="A73" s="11" t="n">
        <v>28</v>
      </c>
      <c r="B73" s="16" t="n">
        <v>100</v>
      </c>
      <c r="C73" s="16" t="n">
        <v>13</v>
      </c>
      <c r="D73" s="11">
        <f>B73*C73</f>
        <v/>
      </c>
      <c r="E73" s="11">
        <f>MIN(D72,D73)</f>
        <v/>
      </c>
      <c r="F73" s="12">
        <f>E73*$B$4</f>
        <v/>
      </c>
      <c r="G73" s="12">
        <f>F73*$B$5</f>
        <v/>
      </c>
      <c r="H73" s="12">
        <f>E73*$B$28</f>
        <v/>
      </c>
      <c r="I73" s="12">
        <f>$B$27</f>
        <v/>
      </c>
      <c r="J73" s="12">
        <f>H73-I73</f>
        <v/>
      </c>
      <c r="K73" s="12">
        <f>K72+J73</f>
        <v/>
      </c>
      <c r="L73" s="11">
        <f>IF(J73&gt;=0,1,0)</f>
        <v/>
      </c>
    </row>
    <row r="74">
      <c r="A74" s="11" t="n">
        <v>29</v>
      </c>
      <c r="B74" s="16" t="n">
        <v>104</v>
      </c>
      <c r="C74" s="16" t="n">
        <v>13</v>
      </c>
      <c r="D74" s="11">
        <f>B74*C74</f>
        <v/>
      </c>
      <c r="E74" s="11">
        <f>MIN(D73,D74)</f>
        <v/>
      </c>
      <c r="F74" s="12">
        <f>E74*$B$4</f>
        <v/>
      </c>
      <c r="G74" s="12">
        <f>F74*$B$5</f>
        <v/>
      </c>
      <c r="H74" s="12">
        <f>E74*$B$28</f>
        <v/>
      </c>
      <c r="I74" s="12">
        <f>$B$27</f>
        <v/>
      </c>
      <c r="J74" s="12">
        <f>H74-I74</f>
        <v/>
      </c>
      <c r="K74" s="12">
        <f>K73+J74</f>
        <v/>
      </c>
      <c r="L74" s="11">
        <f>IF(J74&gt;=0,1,0)</f>
        <v/>
      </c>
    </row>
    <row r="75">
      <c r="A75" s="11" t="n">
        <v>30</v>
      </c>
      <c r="B75" s="16" t="n">
        <v>108</v>
      </c>
      <c r="C75" s="16" t="n">
        <v>13</v>
      </c>
      <c r="D75" s="11">
        <f>B75*C75</f>
        <v/>
      </c>
      <c r="E75" s="11">
        <f>MIN(D74,D75)</f>
        <v/>
      </c>
      <c r="F75" s="12">
        <f>E75*$B$4</f>
        <v/>
      </c>
      <c r="G75" s="12">
        <f>F75*$B$5</f>
        <v/>
      </c>
      <c r="H75" s="12">
        <f>E75*$B$28</f>
        <v/>
      </c>
      <c r="I75" s="12">
        <f>$B$27</f>
        <v/>
      </c>
      <c r="J75" s="12">
        <f>H75-I75</f>
        <v/>
      </c>
      <c r="K75" s="12">
        <f>K74+J75</f>
        <v/>
      </c>
      <c r="L75" s="11">
        <f>IF(J75&gt;=0,1,0)</f>
        <v/>
      </c>
    </row>
    <row r="76">
      <c r="A76" s="11" t="n">
        <v>31</v>
      </c>
      <c r="B76" s="16" t="n">
        <v>112</v>
      </c>
      <c r="C76" s="16" t="n">
        <v>13</v>
      </c>
      <c r="D76" s="11">
        <f>B76*C76</f>
        <v/>
      </c>
      <c r="E76" s="11">
        <f>MIN(D75,D76)</f>
        <v/>
      </c>
      <c r="F76" s="12">
        <f>E76*$B$4</f>
        <v/>
      </c>
      <c r="G76" s="12">
        <f>F76*$B$5</f>
        <v/>
      </c>
      <c r="H76" s="12">
        <f>E76*$B$28</f>
        <v/>
      </c>
      <c r="I76" s="12">
        <f>$B$27</f>
        <v/>
      </c>
      <c r="J76" s="12">
        <f>H76-I76</f>
        <v/>
      </c>
      <c r="K76" s="12">
        <f>K75+J76</f>
        <v/>
      </c>
      <c r="L76" s="11">
        <f>IF(J76&gt;=0,1,0)</f>
        <v/>
      </c>
    </row>
    <row r="77">
      <c r="A77" s="11" t="n">
        <v>32</v>
      </c>
      <c r="B77" s="16" t="n">
        <v>116</v>
      </c>
      <c r="C77" s="16" t="n">
        <v>13</v>
      </c>
      <c r="D77" s="11">
        <f>B77*C77</f>
        <v/>
      </c>
      <c r="E77" s="11">
        <f>MIN(D76,D77)</f>
        <v/>
      </c>
      <c r="F77" s="12">
        <f>E77*$B$4</f>
        <v/>
      </c>
      <c r="G77" s="12">
        <f>F77*$B$5</f>
        <v/>
      </c>
      <c r="H77" s="12">
        <f>E77*$B$28</f>
        <v/>
      </c>
      <c r="I77" s="12">
        <f>$B$27</f>
        <v/>
      </c>
      <c r="J77" s="12">
        <f>H77-I77</f>
        <v/>
      </c>
      <c r="K77" s="12">
        <f>K76+J77</f>
        <v/>
      </c>
      <c r="L77" s="11">
        <f>IF(J77&gt;=0,1,0)</f>
        <v/>
      </c>
    </row>
    <row r="78">
      <c r="A78" s="11" t="n">
        <v>33</v>
      </c>
      <c r="B78" s="16" t="n">
        <v>120</v>
      </c>
      <c r="C78" s="16" t="n">
        <v>13</v>
      </c>
      <c r="D78" s="11">
        <f>B78*C78</f>
        <v/>
      </c>
      <c r="E78" s="11">
        <f>MIN(D77,D78)</f>
        <v/>
      </c>
      <c r="F78" s="12">
        <f>E78*$B$4</f>
        <v/>
      </c>
      <c r="G78" s="12">
        <f>F78*$B$5</f>
        <v/>
      </c>
      <c r="H78" s="12">
        <f>E78*$B$28</f>
        <v/>
      </c>
      <c r="I78" s="12">
        <f>$B$27</f>
        <v/>
      </c>
      <c r="J78" s="12">
        <f>H78-I78</f>
        <v/>
      </c>
      <c r="K78" s="12">
        <f>K77+J78</f>
        <v/>
      </c>
      <c r="L78" s="11">
        <f>IF(J78&gt;=0,1,0)</f>
        <v/>
      </c>
    </row>
    <row r="79">
      <c r="A79" s="11" t="n">
        <v>34</v>
      </c>
      <c r="B79" s="16" t="n">
        <v>124</v>
      </c>
      <c r="C79" s="16" t="n">
        <v>13</v>
      </c>
      <c r="D79" s="11">
        <f>B79*C79</f>
        <v/>
      </c>
      <c r="E79" s="11">
        <f>MIN(D78,D79)</f>
        <v/>
      </c>
      <c r="F79" s="12">
        <f>E79*$B$4</f>
        <v/>
      </c>
      <c r="G79" s="12">
        <f>F79*$B$5</f>
        <v/>
      </c>
      <c r="H79" s="12">
        <f>E79*$B$28</f>
        <v/>
      </c>
      <c r="I79" s="12">
        <f>$B$27</f>
        <v/>
      </c>
      <c r="J79" s="12">
        <f>H79-I79</f>
        <v/>
      </c>
      <c r="K79" s="12">
        <f>K78+J79</f>
        <v/>
      </c>
      <c r="L79" s="11">
        <f>IF(J79&gt;=0,1,0)</f>
        <v/>
      </c>
    </row>
    <row r="80">
      <c r="A80" s="11" t="n">
        <v>35</v>
      </c>
      <c r="B80" s="16" t="n">
        <v>128</v>
      </c>
      <c r="C80" s="16" t="n">
        <v>13</v>
      </c>
      <c r="D80" s="11">
        <f>B80*C80</f>
        <v/>
      </c>
      <c r="E80" s="11">
        <f>MIN(D79,D80)</f>
        <v/>
      </c>
      <c r="F80" s="12">
        <f>E80*$B$4</f>
        <v/>
      </c>
      <c r="G80" s="12">
        <f>F80*$B$5</f>
        <v/>
      </c>
      <c r="H80" s="12">
        <f>E80*$B$28</f>
        <v/>
      </c>
      <c r="I80" s="12">
        <f>$B$27</f>
        <v/>
      </c>
      <c r="J80" s="12">
        <f>H80-I80</f>
        <v/>
      </c>
      <c r="K80" s="12">
        <f>K79+J80</f>
        <v/>
      </c>
      <c r="L80" s="11">
        <f>IF(J80&gt;=0,1,0)</f>
        <v/>
      </c>
    </row>
    <row r="81">
      <c r="A81" s="11" t="n">
        <v>36</v>
      </c>
      <c r="B81" s="16" t="n">
        <v>132</v>
      </c>
      <c r="C81" s="16" t="n">
        <v>13</v>
      </c>
      <c r="D81" s="11">
        <f>B81*C81</f>
        <v/>
      </c>
      <c r="E81" s="11">
        <f>MIN(D80,D81)</f>
        <v/>
      </c>
      <c r="F81" s="12">
        <f>E81*$B$4</f>
        <v/>
      </c>
      <c r="G81" s="12">
        <f>F81*$B$5</f>
        <v/>
      </c>
      <c r="H81" s="12">
        <f>E81*$B$28</f>
        <v/>
      </c>
      <c r="I81" s="12">
        <f>$B$27</f>
        <v/>
      </c>
      <c r="J81" s="12">
        <f>H81-I81</f>
        <v/>
      </c>
      <c r="K81" s="12">
        <f>K80+J81</f>
        <v/>
      </c>
      <c r="L81" s="11">
        <f>IF(J81&gt;=0,1,0)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2026-09-27T08:02:46Z</dcterms:created>
  <dcterms:modified xsi:type="dcterms:W3CDTF">2026-09-27T08:02:46Z</dcterms:modified>
</cp:coreProperties>
</file>